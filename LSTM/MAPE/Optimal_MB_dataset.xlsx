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ople.ey.com/personal/duy_quoc_lai_vn_ey_com/Documents/99. Misc/MAPE/"/>
    </mc:Choice>
  </mc:AlternateContent>
  <xr:revisionPtr revIDLastSave="8" documentId="8_{0C6FBB6D-D34E-4AE6-B609-C5081C3BAF1F}" xr6:coauthVersionLast="47" xr6:coauthVersionMax="47" xr10:uidLastSave="{AA860A2A-0417-4812-AD65-2B741F97E1A5}"/>
  <bookViews>
    <workbookView xWindow="-100" yWindow="-100" windowWidth="21467" windowHeight="11576" firstSheet="1" activeTab="1" xr2:uid="{00000000-000D-0000-FFFF-FFFF00000000}"/>
  </bookViews>
  <sheets>
    <sheet name="Description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M6" i="1"/>
  <c r="P6" i="1"/>
  <c r="I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2" i="1"/>
  <c r="V2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  <c r="T1" i="1"/>
  <c r="U1" i="1"/>
  <c r="V1" i="1"/>
  <c r="W1" i="1"/>
  <c r="S1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6" i="1"/>
  <c r="O6" i="1"/>
  <c r="Q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3" i="1"/>
  <c r="K3" i="1"/>
  <c r="L3" i="1"/>
  <c r="G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3" i="1"/>
</calcChain>
</file>

<file path=xl/sharedStrings.xml><?xml version="1.0" encoding="utf-8"?>
<sst xmlns="http://schemas.openxmlformats.org/spreadsheetml/2006/main" count="177" uniqueCount="160">
  <si>
    <t>Nguồn: Dữ liệu của Hoa Kỳ từ quý 1 năm 1970 đến quý 4 năm 1994, tất cả tính theo giá năm 1987</t>
  </si>
  <si>
    <t>Variable</t>
  </si>
  <si>
    <t>Description</t>
  </si>
  <si>
    <t>TIME</t>
  </si>
  <si>
    <t xml:space="preserve">Thời gian </t>
  </si>
  <si>
    <t>GDP</t>
  </si>
  <si>
    <t>PDI</t>
  </si>
  <si>
    <t>Thu nhập sau khi đã trừ thuế của dân cư</t>
  </si>
  <si>
    <t>PCE</t>
  </si>
  <si>
    <t>Chi cho tiêu dùng cá nhân</t>
  </si>
  <si>
    <t>PROFIT</t>
  </si>
  <si>
    <t>Lãi sau thuế của công ty</t>
  </si>
  <si>
    <t>DIVIDENT</t>
  </si>
  <si>
    <t>Lợi tức ròng của công ty</t>
  </si>
  <si>
    <t>_GROWTH</t>
  </si>
  <si>
    <t>Tỷ lệ tăng trưởng so với quý trước</t>
  </si>
  <si>
    <t>_GROWTH1</t>
  </si>
  <si>
    <t>Tỷ lệ tăng trưởng so với cùng kỳ năm trước</t>
  </si>
  <si>
    <t>Biến mục tiêu đề xuất: DIVIDENT_GROWTH</t>
  </si>
  <si>
    <t>y = a + b1x1 + b2x2 + …..</t>
  </si>
  <si>
    <t>Viết lệnh vòng lặp, tạo variables tranformation của tất cả các biến độc lập. 1 họ sẽ có 7 biến</t>
  </si>
  <si>
    <t>GPD</t>
  </si>
  <si>
    <t>GDP_GROWTH</t>
  </si>
  <si>
    <t>Chạy hồi quy linear tìm best equation</t>
  </si>
  <si>
    <t>GDP_GROWTH1</t>
  </si>
  <si>
    <t>Chỉ tiêu kiểm định:</t>
  </si>
  <si>
    <t>GPD_LOG</t>
  </si>
  <si>
    <t>p value có ý nghĩa</t>
  </si>
  <si>
    <t>GDP_LN</t>
  </si>
  <si>
    <t>MAPE: càng bé càng tốt</t>
  </si>
  <si>
    <t>GPD_LAG1</t>
  </si>
  <si>
    <t>GPD_LAG2</t>
  </si>
  <si>
    <t>Cách 1:</t>
  </si>
  <si>
    <t>Chạy đơn từng biến x với biến y</t>
  </si>
  <si>
    <t xml:space="preserve">Sẽ có R2 </t>
  </si>
  <si>
    <t>Xếp thứ tự độ mạnh của biến theo R2:</t>
  </si>
  <si>
    <t>Rank R2.</t>
  </si>
  <si>
    <t>Đẩy các biến vào chạy hồi quy theo thứ tự của rank R2</t>
  </si>
  <si>
    <t>x1</t>
  </si>
  <si>
    <t>Đẩy x1 vào, Đẩy x2 vào</t>
  </si>
  <si>
    <t>x2</t>
  </si>
  <si>
    <t>Check xem p value ok ko</t>
  </si>
  <si>
    <t>x3</t>
  </si>
  <si>
    <t>Lưu cái MAPE ở đâu đấy</t>
  </si>
  <si>
    <t>…</t>
  </si>
  <si>
    <t>Giả sử đẩy x5 vào thì làm cho x2 p value lớn</t>
  </si>
  <si>
    <t>Bỏ x5 đi</t>
  </si>
  <si>
    <t>Đẩy x6 vào</t>
  </si>
  <si>
    <t>Đến khi nào mà đẩy biến vào ko còn làm cho MAPE tăng nữa.</t>
  </si>
  <si>
    <t xml:space="preserve">Cách 2: </t>
  </si>
  <si>
    <t>Sau khi thực hiện variable transformaition sẽ có các họ biến</t>
  </si>
  <si>
    <t>x11</t>
  </si>
  <si>
    <t>x21</t>
  </si>
  <si>
    <t>x31</t>
  </si>
  <si>
    <t>x12</t>
  </si>
  <si>
    <t>x22</t>
  </si>
  <si>
    <t>x32</t>
  </si>
  <si>
    <t>x13</t>
  </si>
  <si>
    <t>x23</t>
  </si>
  <si>
    <t>x33</t>
  </si>
  <si>
    <t xml:space="preserve">Cách 3: </t>
  </si>
  <si>
    <t xml:space="preserve">Chạy combination </t>
  </si>
  <si>
    <t>Mỗi nhóm 1 đại diện đến khi nào pvalue thỏa mãn và MAPE min</t>
  </si>
  <si>
    <t>DIVIDENT_GROWTH</t>
  </si>
  <si>
    <t>GDP_LAG1</t>
  </si>
  <si>
    <t>PDI_GROWTH</t>
  </si>
  <si>
    <t>PCE_GROWTH</t>
  </si>
  <si>
    <t>PROFIT_GROWTH</t>
  </si>
  <si>
    <t>PDI_GROWTH1</t>
  </si>
  <si>
    <t>PCE_GROWTH1</t>
  </si>
  <si>
    <t>PROFIT_GROWTH1</t>
  </si>
  <si>
    <t>DIVIDENT_GROWTH1</t>
  </si>
  <si>
    <t>19701</t>
  </si>
  <si>
    <t>19702</t>
  </si>
  <si>
    <t>19703</t>
  </si>
  <si>
    <t>19704</t>
  </si>
  <si>
    <t>19711</t>
  </si>
  <si>
    <t>19712</t>
  </si>
  <si>
    <t>19713</t>
  </si>
  <si>
    <t>19714</t>
  </si>
  <si>
    <t>19721</t>
  </si>
  <si>
    <t>19722</t>
  </si>
  <si>
    <t>19723</t>
  </si>
  <si>
    <t>19724</t>
  </si>
  <si>
    <t>19731</t>
  </si>
  <si>
    <t>19732</t>
  </si>
  <si>
    <t>19733</t>
  </si>
  <si>
    <t>19734</t>
  </si>
  <si>
    <t>19741</t>
  </si>
  <si>
    <t>19742</t>
  </si>
  <si>
    <t>19743</t>
  </si>
  <si>
    <t>19744</t>
  </si>
  <si>
    <t>19751</t>
  </si>
  <si>
    <t>19752</t>
  </si>
  <si>
    <t>19753</t>
  </si>
  <si>
    <t>19754</t>
  </si>
  <si>
    <t>19761</t>
  </si>
  <si>
    <t>19762</t>
  </si>
  <si>
    <t>19763</t>
  </si>
  <si>
    <t>19764</t>
  </si>
  <si>
    <t>19771</t>
  </si>
  <si>
    <t>19772</t>
  </si>
  <si>
    <t>19773</t>
  </si>
  <si>
    <t>19774</t>
  </si>
  <si>
    <t>19781</t>
  </si>
  <si>
    <t>19782</t>
  </si>
  <si>
    <t>19783</t>
  </si>
  <si>
    <t>19784</t>
  </si>
  <si>
    <t>19791</t>
  </si>
  <si>
    <t>19792</t>
  </si>
  <si>
    <t>19793</t>
  </si>
  <si>
    <t>19794</t>
  </si>
  <si>
    <t>19801</t>
  </si>
  <si>
    <t>19802</t>
  </si>
  <si>
    <t>19803</t>
  </si>
  <si>
    <t>19804</t>
  </si>
  <si>
    <t>19811</t>
  </si>
  <si>
    <t>19812</t>
  </si>
  <si>
    <t>19813</t>
  </si>
  <si>
    <t>19814</t>
  </si>
  <si>
    <t>19821</t>
  </si>
  <si>
    <t>19822</t>
  </si>
  <si>
    <t>19823</t>
  </si>
  <si>
    <t>19824</t>
  </si>
  <si>
    <t>19831</t>
  </si>
  <si>
    <t>19832</t>
  </si>
  <si>
    <t>19833</t>
  </si>
  <si>
    <t>19834</t>
  </si>
  <si>
    <t>19841</t>
  </si>
  <si>
    <t>19842</t>
  </si>
  <si>
    <t>19843</t>
  </si>
  <si>
    <t>19844</t>
  </si>
  <si>
    <t>19851</t>
  </si>
  <si>
    <t>19852</t>
  </si>
  <si>
    <t>19853</t>
  </si>
  <si>
    <t>19854</t>
  </si>
  <si>
    <t>19861</t>
  </si>
  <si>
    <t>19862</t>
  </si>
  <si>
    <t>19863</t>
  </si>
  <si>
    <t>19864</t>
  </si>
  <si>
    <t>19871</t>
  </si>
  <si>
    <t>19872</t>
  </si>
  <si>
    <t>19873</t>
  </si>
  <si>
    <t>19874</t>
  </si>
  <si>
    <t>19881</t>
  </si>
  <si>
    <t>19882</t>
  </si>
  <si>
    <t>19883</t>
  </si>
  <si>
    <t>19884</t>
  </si>
  <si>
    <t>19891</t>
  </si>
  <si>
    <t>19892</t>
  </si>
  <si>
    <t>19893</t>
  </si>
  <si>
    <t>19894</t>
  </si>
  <si>
    <t>19901</t>
  </si>
  <si>
    <t>19902</t>
  </si>
  <si>
    <t>19903</t>
  </si>
  <si>
    <t>19904</t>
  </si>
  <si>
    <t>19911</t>
  </si>
  <si>
    <t>19912</t>
  </si>
  <si>
    <t>19913</t>
  </si>
  <si>
    <t>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</si>
</sst>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52"/>
      <name val="Calibri"/>
      <family val="2"/>
    </font>
    <font>
      <sz val="18"/>
      <color indexed="54"/>
      <name val="Calibri Light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1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1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21" borderId="0" applyNumberFormat="0" applyBorder="0" applyAlignment="0" applyProtection="0"/>
    <xf numFmtId="0" fontId="8" fillId="12" borderId="0" applyNumberFormat="0" applyBorder="0" applyAlignment="0" applyProtection="0"/>
    <xf numFmtId="0" fontId="8" fillId="22" borderId="0" applyNumberFormat="0" applyBorder="0" applyAlignment="0" applyProtection="0"/>
    <xf numFmtId="0" fontId="8" fillId="9" borderId="0" applyNumberFormat="0" applyBorder="0" applyAlignment="0" applyProtection="0"/>
    <xf numFmtId="0" fontId="9" fillId="13" borderId="0" applyNumberFormat="0" applyBorder="0" applyAlignment="0" applyProtection="0"/>
    <xf numFmtId="0" fontId="10" fillId="3" borderId="6" applyNumberFormat="0" applyAlignment="0" applyProtection="0"/>
    <xf numFmtId="0" fontId="11" fillId="23" borderId="7" applyNumberFormat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2" fillId="0" borderId="1" applyNumberFormat="0" applyFill="0" applyAlignment="0" applyProtection="0"/>
    <xf numFmtId="0" fontId="14" fillId="0" borderId="8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15" fillId="3" borderId="6" applyNumberFormat="0" applyAlignment="0" applyProtection="0"/>
    <xf numFmtId="0" fontId="4" fillId="0" borderId="3" applyNumberFormat="0" applyFill="0" applyAlignment="0" applyProtection="0"/>
    <xf numFmtId="0" fontId="16" fillId="24" borderId="0" applyNumberFormat="0" applyBorder="0" applyAlignment="0" applyProtection="0"/>
    <xf numFmtId="0" fontId="1" fillId="25" borderId="9" applyNumberFormat="0" applyFont="0" applyAlignment="0" applyProtection="0"/>
    <xf numFmtId="0" fontId="17" fillId="3" borderId="10" applyNumberFormat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10" fontId="7" fillId="0" borderId="0" xfId="39" applyNumberFormat="1" applyFont="1"/>
    <xf numFmtId="0" fontId="0" fillId="26" borderId="0" xfId="0" applyFill="1"/>
    <xf numFmtId="10" fontId="7" fillId="26" borderId="0" xfId="39" applyNumberFormat="1" applyFont="1" applyFill="1"/>
    <xf numFmtId="0" fontId="0" fillId="0" borderId="5" xfId="0" applyBorder="1"/>
    <xf numFmtId="0" fontId="18" fillId="0" borderId="0" xfId="0" applyFont="1"/>
    <xf numFmtId="0" fontId="18" fillId="26" borderId="5" xfId="0" applyFont="1" applyFill="1" applyBorder="1" applyAlignment="1">
      <alignment horizontal="center"/>
    </xf>
    <xf numFmtId="0" fontId="20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70338</xdr:colOff>
      <xdr:row>21</xdr:row>
      <xdr:rowOff>84406</xdr:rowOff>
    </xdr:from>
    <xdr:to>
      <xdr:col>10</xdr:col>
      <xdr:colOff>590843</xdr:colOff>
      <xdr:row>28</xdr:row>
      <xdr:rowOff>175846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20559743-93F7-DA55-5A20-A0133A2E9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3095" y="3924886"/>
          <a:ext cx="3615397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3"/>
  <sheetViews>
    <sheetView workbookViewId="0">
      <selection activeCell="F6" sqref="F6"/>
    </sheetView>
  </sheetViews>
  <sheetFormatPr defaultRowHeight="14.45"/>
  <cols>
    <col min="1" max="1" width="3.5703125" customWidth="1"/>
    <col min="2" max="2" width="18.28515625" customWidth="1"/>
    <col min="3" max="3" width="37.5703125" customWidth="1"/>
  </cols>
  <sheetData>
    <row r="2" spans="2:6">
      <c r="B2" s="7" t="s">
        <v>0</v>
      </c>
    </row>
    <row r="4" spans="2:6">
      <c r="B4" s="6" t="s">
        <v>1</v>
      </c>
      <c r="C4" s="6" t="s">
        <v>2</v>
      </c>
    </row>
    <row r="5" spans="2:6">
      <c r="B5" s="4" t="s">
        <v>3</v>
      </c>
      <c r="C5" s="4" t="s">
        <v>4</v>
      </c>
    </row>
    <row r="6" spans="2:6">
      <c r="B6" s="4" t="s">
        <v>5</v>
      </c>
      <c r="C6" s="4" t="s">
        <v>5</v>
      </c>
    </row>
    <row r="7" spans="2:6">
      <c r="B7" s="4" t="s">
        <v>6</v>
      </c>
      <c r="C7" s="4" t="s">
        <v>7</v>
      </c>
    </row>
    <row r="8" spans="2:6">
      <c r="B8" s="4" t="s">
        <v>8</v>
      </c>
      <c r="C8" s="4" t="s">
        <v>9</v>
      </c>
    </row>
    <row r="9" spans="2:6">
      <c r="B9" s="4" t="s">
        <v>10</v>
      </c>
      <c r="C9" s="4" t="s">
        <v>11</v>
      </c>
    </row>
    <row r="10" spans="2:6">
      <c r="B10" s="4" t="s">
        <v>12</v>
      </c>
      <c r="C10" s="4" t="s">
        <v>13</v>
      </c>
    </row>
    <row r="11" spans="2:6">
      <c r="B11" s="4" t="s">
        <v>14</v>
      </c>
      <c r="C11" s="4" t="s">
        <v>15</v>
      </c>
    </row>
    <row r="12" spans="2:6">
      <c r="B12" s="4" t="s">
        <v>16</v>
      </c>
      <c r="C12" s="4" t="s">
        <v>17</v>
      </c>
    </row>
    <row r="14" spans="2:6">
      <c r="B14" s="5" t="s">
        <v>18</v>
      </c>
    </row>
    <row r="15" spans="2:6">
      <c r="B15" t="s">
        <v>19</v>
      </c>
    </row>
    <row r="16" spans="2:6">
      <c r="E16">
        <v>1</v>
      </c>
      <c r="F16" t="s">
        <v>20</v>
      </c>
    </row>
    <row r="17" spans="2:6">
      <c r="B17" t="s">
        <v>21</v>
      </c>
      <c r="C17" t="s">
        <v>22</v>
      </c>
      <c r="E17">
        <v>2</v>
      </c>
      <c r="F17" t="s">
        <v>23</v>
      </c>
    </row>
    <row r="18" spans="2:6">
      <c r="C18" t="s">
        <v>24</v>
      </c>
      <c r="F18" t="s">
        <v>25</v>
      </c>
    </row>
    <row r="19" spans="2:6">
      <c r="C19" t="s">
        <v>26</v>
      </c>
      <c r="F19" t="s">
        <v>27</v>
      </c>
    </row>
    <row r="20" spans="2:6">
      <c r="C20" t="s">
        <v>28</v>
      </c>
      <c r="F20" t="s">
        <v>29</v>
      </c>
    </row>
    <row r="21" spans="2:6">
      <c r="C21" t="s">
        <v>30</v>
      </c>
    </row>
    <row r="22" spans="2:6">
      <c r="C22" t="s">
        <v>31</v>
      </c>
    </row>
    <row r="31" spans="2:6">
      <c r="D31" t="s">
        <v>32</v>
      </c>
      <c r="E31">
        <v>3</v>
      </c>
      <c r="F31" t="s">
        <v>33</v>
      </c>
    </row>
    <row r="32" spans="2:6">
      <c r="F32" t="s">
        <v>34</v>
      </c>
    </row>
    <row r="33" spans="4:9">
      <c r="F33" t="s">
        <v>35</v>
      </c>
    </row>
    <row r="34" spans="4:9">
      <c r="F34" t="s">
        <v>36</v>
      </c>
    </row>
    <row r="35" spans="4:9">
      <c r="F35" t="s">
        <v>37</v>
      </c>
    </row>
    <row r="36" spans="4:9">
      <c r="F36" t="s">
        <v>38</v>
      </c>
      <c r="G36" t="s">
        <v>39</v>
      </c>
    </row>
    <row r="37" spans="4:9">
      <c r="F37" t="s">
        <v>40</v>
      </c>
      <c r="G37" t="s">
        <v>41</v>
      </c>
    </row>
    <row r="38" spans="4:9">
      <c r="F38" t="s">
        <v>42</v>
      </c>
      <c r="G38" t="s">
        <v>43</v>
      </c>
    </row>
    <row r="39" spans="4:9">
      <c r="F39" t="s">
        <v>44</v>
      </c>
    </row>
    <row r="40" spans="4:9">
      <c r="G40" t="s">
        <v>45</v>
      </c>
    </row>
    <row r="41" spans="4:9">
      <c r="G41" t="s">
        <v>46</v>
      </c>
    </row>
    <row r="42" spans="4:9">
      <c r="G42" t="s">
        <v>47</v>
      </c>
    </row>
    <row r="43" spans="4:9">
      <c r="G43" t="s">
        <v>48</v>
      </c>
    </row>
    <row r="44" spans="4:9">
      <c r="D44" t="s">
        <v>49</v>
      </c>
      <c r="F44" t="s">
        <v>50</v>
      </c>
    </row>
    <row r="46" spans="4:9">
      <c r="F46" t="s">
        <v>21</v>
      </c>
      <c r="G46" s="4" t="s">
        <v>6</v>
      </c>
      <c r="H46" s="4" t="s">
        <v>8</v>
      </c>
      <c r="I46" s="4" t="s">
        <v>10</v>
      </c>
    </row>
    <row r="47" spans="4:9">
      <c r="F47" t="s">
        <v>51</v>
      </c>
      <c r="G47" t="s">
        <v>52</v>
      </c>
      <c r="H47" t="s">
        <v>53</v>
      </c>
    </row>
    <row r="48" spans="4:9">
      <c r="F48" t="s">
        <v>54</v>
      </c>
      <c r="G48" t="s">
        <v>55</v>
      </c>
      <c r="H48" t="s">
        <v>56</v>
      </c>
    </row>
    <row r="49" spans="4:8">
      <c r="F49" t="s">
        <v>57</v>
      </c>
      <c r="G49" t="s">
        <v>58</v>
      </c>
      <c r="H49" t="s">
        <v>59</v>
      </c>
    </row>
    <row r="50" spans="4:8">
      <c r="F50" t="s">
        <v>44</v>
      </c>
      <c r="G50" t="s">
        <v>44</v>
      </c>
      <c r="H50" t="s">
        <v>44</v>
      </c>
    </row>
    <row r="52" spans="4:8">
      <c r="D52" t="s">
        <v>60</v>
      </c>
      <c r="F52" t="s">
        <v>61</v>
      </c>
    </row>
    <row r="53" spans="4:8">
      <c r="F53" t="s">
        <v>62</v>
      </c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9"/>
  <sheetViews>
    <sheetView tabSelected="1" zoomScaleNormal="100" workbookViewId="0">
      <selection activeCell="K4" sqref="K4"/>
    </sheetView>
  </sheetViews>
  <sheetFormatPr defaultRowHeight="14.45"/>
  <cols>
    <col min="1" max="1" width="7.7109375" customWidth="1"/>
    <col min="2" max="4" width="6.85546875" bestFit="1" customWidth="1"/>
    <col min="5" max="5" width="6.7109375" bestFit="1" customWidth="1"/>
    <col min="6" max="6" width="8.85546875" hidden="1" customWidth="1"/>
    <col min="7" max="7" width="17.85546875" style="2" bestFit="1" customWidth="1"/>
    <col min="8" max="8" width="13.28515625" bestFit="1" customWidth="1"/>
    <col min="9" max="9" width="13.28515625" customWidth="1"/>
    <col min="10" max="10" width="12.42578125" bestFit="1" customWidth="1"/>
    <col min="11" max="11" width="12.7109375" bestFit="1" customWidth="1"/>
    <col min="12" max="12" width="15.5703125" bestFit="1" customWidth="1"/>
  </cols>
  <sheetData>
    <row r="1" spans="1:23">
      <c r="A1" t="s">
        <v>3</v>
      </c>
      <c r="B1" t="s">
        <v>5</v>
      </c>
      <c r="C1" t="s">
        <v>6</v>
      </c>
      <c r="D1" t="s">
        <v>8</v>
      </c>
      <c r="E1" t="s">
        <v>10</v>
      </c>
      <c r="F1" t="s">
        <v>12</v>
      </c>
      <c r="G1" s="2" t="s">
        <v>63</v>
      </c>
      <c r="H1" t="s">
        <v>22</v>
      </c>
      <c r="I1" t="s">
        <v>64</v>
      </c>
      <c r="J1" t="s">
        <v>65</v>
      </c>
      <c r="K1" t="s">
        <v>66</v>
      </c>
      <c r="L1" t="s">
        <v>67</v>
      </c>
      <c r="M1" t="s">
        <v>24</v>
      </c>
      <c r="N1" t="s">
        <v>68</v>
      </c>
      <c r="O1" t="s">
        <v>69</v>
      </c>
      <c r="P1" t="s">
        <v>70</v>
      </c>
      <c r="Q1" t="s">
        <v>71</v>
      </c>
      <c r="R1" t="s">
        <v>28</v>
      </c>
      <c r="S1" t="str">
        <f>"LOG_"&amp;B1</f>
        <v>LOG_GDP</v>
      </c>
      <c r="T1" t="str">
        <f>"LOG_"&amp;C1</f>
        <v>LOG_PDI</v>
      </c>
      <c r="U1" t="str">
        <f>"LOG_"&amp;D1</f>
        <v>LOG_PCE</v>
      </c>
      <c r="V1" t="str">
        <f>"LOG_"&amp;E1</f>
        <v>LOG_PROFIT</v>
      </c>
      <c r="W1" t="str">
        <f>"LOG_"&amp;F1</f>
        <v>LOG_DIVIDENT</v>
      </c>
    </row>
    <row r="2" spans="1:23">
      <c r="A2" t="s">
        <v>72</v>
      </c>
      <c r="B2">
        <v>2872.8</v>
      </c>
      <c r="C2">
        <v>1990.6</v>
      </c>
      <c r="D2">
        <v>1800.5</v>
      </c>
      <c r="E2">
        <v>44.7</v>
      </c>
      <c r="F2">
        <v>24.5</v>
      </c>
      <c r="R2">
        <f>LN(B2)</f>
        <v>7.9630424429118731</v>
      </c>
      <c r="S2">
        <f t="shared" ref="S2:S33" si="0">LOG10(B2)</f>
        <v>3.4583053921180169</v>
      </c>
      <c r="T2">
        <f t="shared" ref="T2:T33" si="1">LOG10(C2)</f>
        <v>3.2989839997333843</v>
      </c>
      <c r="U2">
        <f t="shared" ref="U2:U33" si="2">LOG10(D2)</f>
        <v>3.2553931257073043</v>
      </c>
      <c r="V2">
        <f t="shared" ref="V2:V33" si="3">LOG10(E2)</f>
        <v>1.6503075231319364</v>
      </c>
      <c r="W2">
        <f t="shared" ref="W2:W33" si="4">LOG10(F2)</f>
        <v>1.3891660843645324</v>
      </c>
    </row>
    <row r="3" spans="1:23">
      <c r="A3" t="s">
        <v>73</v>
      </c>
      <c r="B3">
        <v>2860.3</v>
      </c>
      <c r="C3">
        <v>2020.1</v>
      </c>
      <c r="D3">
        <v>1807.5</v>
      </c>
      <c r="E3">
        <v>44.4</v>
      </c>
      <c r="F3">
        <v>23.9</v>
      </c>
      <c r="G3" s="3">
        <f t="shared" ref="G3:G34" si="5">(F3-F2)/F2</f>
        <v>-2.4489795918367405E-2</v>
      </c>
      <c r="H3" s="1">
        <f t="shared" ref="H3:H34" si="6">(B3-B2)/B2</f>
        <v>-4.3511556669451404E-3</v>
      </c>
      <c r="I3" s="1">
        <f>B2</f>
        <v>2872.8</v>
      </c>
      <c r="J3" s="1">
        <f t="shared" ref="J3:J34" si="7">(C3-C2)/C2</f>
        <v>1.4819652366120768E-2</v>
      </c>
      <c r="K3" s="1">
        <f t="shared" ref="K3:K34" si="8">(D3-D2)/D2</f>
        <v>3.8878089419605664E-3</v>
      </c>
      <c r="L3" s="1">
        <f t="shared" ref="L3:L34" si="9">(E3-E2)/E2</f>
        <v>-6.7114093959732496E-3</v>
      </c>
      <c r="R3">
        <f t="shared" ref="R3:R66" si="10">LN(B3)</f>
        <v>7.9586817934176866</v>
      </c>
      <c r="S3">
        <f t="shared" si="0"/>
        <v>3.4564115861051774</v>
      </c>
      <c r="T3">
        <f t="shared" si="1"/>
        <v>3.3053728686412969</v>
      </c>
      <c r="U3">
        <f t="shared" si="2"/>
        <v>3.2570783059665684</v>
      </c>
      <c r="V3">
        <f t="shared" si="3"/>
        <v>1.6473829701146199</v>
      </c>
      <c r="W3">
        <f t="shared" si="4"/>
        <v>1.3783979009481377</v>
      </c>
    </row>
    <row r="4" spans="1:23">
      <c r="A4" t="s">
        <v>74</v>
      </c>
      <c r="B4">
        <v>2896.6</v>
      </c>
      <c r="C4">
        <v>2045.3</v>
      </c>
      <c r="D4">
        <v>1824.7</v>
      </c>
      <c r="E4">
        <v>44.9</v>
      </c>
      <c r="F4">
        <v>23.3</v>
      </c>
      <c r="G4" s="3">
        <f t="shared" si="5"/>
        <v>-2.5104602510460164E-2</v>
      </c>
      <c r="H4" s="1">
        <f t="shared" si="6"/>
        <v>1.2690976470999449E-2</v>
      </c>
      <c r="I4" s="1"/>
      <c r="J4" s="1">
        <f t="shared" si="7"/>
        <v>1.2474629968813449E-2</v>
      </c>
      <c r="K4" s="1">
        <f t="shared" si="8"/>
        <v>9.5159059474412416E-3</v>
      </c>
      <c r="L4" s="1">
        <f t="shared" si="9"/>
        <v>1.1261261261261262E-2</v>
      </c>
      <c r="R4">
        <f t="shared" si="10"/>
        <v>7.9712929143667557</v>
      </c>
      <c r="S4">
        <f t="shared" si="0"/>
        <v>3.4618885263439725</v>
      </c>
      <c r="T4">
        <f t="shared" si="1"/>
        <v>3.3107570183526041</v>
      </c>
      <c r="U4">
        <f t="shared" si="2"/>
        <v>3.2611914720503696</v>
      </c>
      <c r="V4">
        <f t="shared" si="3"/>
        <v>1.6522463410033232</v>
      </c>
      <c r="W4">
        <f t="shared" si="4"/>
        <v>1.3673559210260189</v>
      </c>
    </row>
    <row r="5" spans="1:23">
      <c r="A5" t="s">
        <v>75</v>
      </c>
      <c r="B5">
        <v>2873.7</v>
      </c>
      <c r="C5">
        <v>2045.2</v>
      </c>
      <c r="D5">
        <v>1821.2</v>
      </c>
      <c r="E5">
        <v>42.1</v>
      </c>
      <c r="F5">
        <v>23.1</v>
      </c>
      <c r="G5" s="3">
        <f t="shared" si="5"/>
        <v>-8.5836909871244323E-3</v>
      </c>
      <c r="H5" s="1">
        <f t="shared" si="6"/>
        <v>-7.9058206172754573E-3</v>
      </c>
      <c r="I5" s="1"/>
      <c r="J5" s="1">
        <f t="shared" si="7"/>
        <v>-4.8892582995115168E-5</v>
      </c>
      <c r="K5" s="1">
        <f t="shared" si="8"/>
        <v>-1.9181235271551488E-3</v>
      </c>
      <c r="L5" s="1">
        <f t="shared" si="9"/>
        <v>-6.2360801781737134E-2</v>
      </c>
      <c r="R5">
        <f t="shared" si="10"/>
        <v>7.9633556770569554</v>
      </c>
      <c r="S5">
        <f t="shared" si="0"/>
        <v>3.4584414279787699</v>
      </c>
      <c r="T5">
        <f t="shared" si="1"/>
        <v>3.3107357840544993</v>
      </c>
      <c r="U5">
        <f t="shared" si="2"/>
        <v>3.2603576416361522</v>
      </c>
      <c r="V5">
        <f t="shared" si="3"/>
        <v>1.6242820958356683</v>
      </c>
      <c r="W5">
        <f t="shared" si="4"/>
        <v>1.3636119798921444</v>
      </c>
    </row>
    <row r="6" spans="1:23">
      <c r="A6" t="s">
        <v>76</v>
      </c>
      <c r="B6">
        <v>2942.9</v>
      </c>
      <c r="C6">
        <v>2073.9</v>
      </c>
      <c r="D6">
        <v>1849.9</v>
      </c>
      <c r="E6">
        <v>48.8</v>
      </c>
      <c r="F6">
        <v>23.8</v>
      </c>
      <c r="G6" s="3">
        <f t="shared" si="5"/>
        <v>3.0303030303030269E-2</v>
      </c>
      <c r="H6" s="1">
        <f t="shared" si="6"/>
        <v>2.4080453770400627E-2</v>
      </c>
      <c r="I6" s="1"/>
      <c r="J6" s="1">
        <f t="shared" si="7"/>
        <v>1.4032857422257013E-2</v>
      </c>
      <c r="K6" s="1">
        <f t="shared" si="8"/>
        <v>1.5758840325060423E-2</v>
      </c>
      <c r="L6" s="1">
        <f t="shared" si="9"/>
        <v>0.15914489311163885</v>
      </c>
      <c r="M6" s="1">
        <f>(B6-B2)/B2</f>
        <v>2.4401280980228316E-2</v>
      </c>
      <c r="N6" s="1">
        <f t="shared" ref="N6:N37" si="11">(C6-C2)/C2</f>
        <v>4.1846679393147887E-2</v>
      </c>
      <c r="O6" s="1">
        <f t="shared" ref="O6:O37" si="12">(D6-D2)/D2</f>
        <v>2.7436823104693191E-2</v>
      </c>
      <c r="P6" s="1">
        <f>(E6-E2)/E2</f>
        <v>9.1722595078299649E-2</v>
      </c>
      <c r="Q6" s="1">
        <f t="shared" ref="Q6:Q37" si="13">(F6-F2)/F2</f>
        <v>-2.8571428571428543E-2</v>
      </c>
      <c r="R6">
        <f t="shared" si="10"/>
        <v>7.9871507687231142</v>
      </c>
      <c r="S6">
        <f t="shared" si="0"/>
        <v>3.4687755049857643</v>
      </c>
      <c r="T6">
        <f t="shared" si="1"/>
        <v>3.3167878116020959</v>
      </c>
      <c r="U6">
        <f t="shared" si="2"/>
        <v>3.2671482523911211</v>
      </c>
      <c r="V6">
        <f t="shared" si="3"/>
        <v>1.6884198220027107</v>
      </c>
      <c r="W6">
        <f t="shared" si="4"/>
        <v>1.3765769570565121</v>
      </c>
    </row>
    <row r="7" spans="1:23">
      <c r="A7" t="s">
        <v>77</v>
      </c>
      <c r="B7">
        <v>2947.4</v>
      </c>
      <c r="C7">
        <v>2098</v>
      </c>
      <c r="D7">
        <v>1863.5</v>
      </c>
      <c r="E7">
        <v>50.7</v>
      </c>
      <c r="F7">
        <v>23.7</v>
      </c>
      <c r="G7" s="3">
        <f t="shared" si="5"/>
        <v>-4.2016806722689672E-3</v>
      </c>
      <c r="H7" s="1">
        <f t="shared" si="6"/>
        <v>1.5291039450881783E-3</v>
      </c>
      <c r="I7" s="1"/>
      <c r="J7" s="1">
        <f t="shared" si="7"/>
        <v>1.1620618159024017E-2</v>
      </c>
      <c r="K7" s="1">
        <f t="shared" si="8"/>
        <v>7.3517487431752574E-3</v>
      </c>
      <c r="L7" s="1">
        <f t="shared" si="9"/>
        <v>3.8934426229508316E-2</v>
      </c>
      <c r="M7" s="1">
        <f t="shared" ref="M7:M37" si="14">(B7-B3)/B3</f>
        <v>3.0451351256861135E-2</v>
      </c>
      <c r="N7" s="1">
        <f t="shared" si="11"/>
        <v>3.8562447403593929E-2</v>
      </c>
      <c r="O7" s="1">
        <f t="shared" si="12"/>
        <v>3.0982019363762103E-2</v>
      </c>
      <c r="P7" s="1">
        <f t="shared" ref="P7:P37" si="15">(E7-E3)/E3</f>
        <v>0.141891891891892</v>
      </c>
      <c r="Q7" s="1">
        <f t="shared" si="13"/>
        <v>-8.3682008368200552E-3</v>
      </c>
      <c r="R7">
        <f t="shared" si="10"/>
        <v>7.9886787047791623</v>
      </c>
      <c r="S7">
        <f t="shared" si="0"/>
        <v>3.4694390791836072</v>
      </c>
      <c r="T7">
        <f t="shared" si="1"/>
        <v>3.3218054838575393</v>
      </c>
      <c r="U7">
        <f t="shared" si="2"/>
        <v>3.2703293970898586</v>
      </c>
      <c r="V7">
        <f t="shared" si="3"/>
        <v>1.705007959333336</v>
      </c>
      <c r="W7">
        <f t="shared" si="4"/>
        <v>1.3747483460101038</v>
      </c>
    </row>
    <row r="8" spans="1:23">
      <c r="A8" t="s">
        <v>78</v>
      </c>
      <c r="B8">
        <v>2966</v>
      </c>
      <c r="C8">
        <v>2106.6</v>
      </c>
      <c r="D8">
        <v>1876.9</v>
      </c>
      <c r="E8">
        <v>54.2</v>
      </c>
      <c r="F8">
        <v>23.8</v>
      </c>
      <c r="G8" s="3">
        <f t="shared" si="5"/>
        <v>4.2194092827004823E-3</v>
      </c>
      <c r="H8" s="1">
        <f t="shared" si="6"/>
        <v>6.3106466716427731E-3</v>
      </c>
      <c r="I8" s="1"/>
      <c r="J8" s="1">
        <f t="shared" si="7"/>
        <v>4.0991420400380884E-3</v>
      </c>
      <c r="K8" s="1">
        <f t="shared" si="8"/>
        <v>7.1907700563456347E-3</v>
      </c>
      <c r="L8" s="1">
        <f t="shared" si="9"/>
        <v>6.9033530571992102E-2</v>
      </c>
      <c r="M8" s="1">
        <f t="shared" si="14"/>
        <v>2.395912449078233E-2</v>
      </c>
      <c r="N8" s="1">
        <f t="shared" si="11"/>
        <v>2.9971153376032834E-2</v>
      </c>
      <c r="O8" s="1">
        <f t="shared" si="12"/>
        <v>2.8607442319285387E-2</v>
      </c>
      <c r="P8" s="1">
        <f t="shared" si="15"/>
        <v>0.20712694877505577</v>
      </c>
      <c r="Q8" s="1">
        <f t="shared" si="13"/>
        <v>2.1459227467811159E-2</v>
      </c>
      <c r="R8">
        <f t="shared" si="10"/>
        <v>7.9949695226978772</v>
      </c>
      <c r="S8">
        <f t="shared" si="0"/>
        <v>3.472171146692363</v>
      </c>
      <c r="T8">
        <f t="shared" si="1"/>
        <v>3.323582079848995</v>
      </c>
      <c r="U8">
        <f t="shared" si="2"/>
        <v>3.2734411343128134</v>
      </c>
      <c r="V8">
        <f t="shared" si="3"/>
        <v>1.7339992865383869</v>
      </c>
      <c r="W8">
        <f t="shared" si="4"/>
        <v>1.3765769570565121</v>
      </c>
    </row>
    <row r="9" spans="1:23">
      <c r="A9" t="s">
        <v>79</v>
      </c>
      <c r="B9">
        <v>2980.8</v>
      </c>
      <c r="C9">
        <v>2121.1</v>
      </c>
      <c r="D9">
        <v>1904.6</v>
      </c>
      <c r="E9">
        <v>55.7</v>
      </c>
      <c r="F9">
        <v>23.7</v>
      </c>
      <c r="G9" s="3">
        <f t="shared" si="5"/>
        <v>-4.2016806722689672E-3</v>
      </c>
      <c r="H9" s="1">
        <f t="shared" si="6"/>
        <v>4.9898853674983758E-3</v>
      </c>
      <c r="I9" s="1"/>
      <c r="J9" s="1">
        <f t="shared" si="7"/>
        <v>6.8831292129497776E-3</v>
      </c>
      <c r="K9" s="1">
        <f t="shared" si="8"/>
        <v>1.4758378176780764E-2</v>
      </c>
      <c r="L9" s="1">
        <f t="shared" si="9"/>
        <v>2.7675276752767528E-2</v>
      </c>
      <c r="M9" s="1">
        <f t="shared" si="14"/>
        <v>3.7269025994362798E-2</v>
      </c>
      <c r="N9" s="1">
        <f t="shared" si="11"/>
        <v>3.7111284959906052E-2</v>
      </c>
      <c r="O9" s="1">
        <f t="shared" si="12"/>
        <v>4.5793981989896697E-2</v>
      </c>
      <c r="P9" s="1">
        <f t="shared" si="15"/>
        <v>0.32304038004750596</v>
      </c>
      <c r="Q9" s="1">
        <f t="shared" si="13"/>
        <v>2.5974025974025879E-2</v>
      </c>
      <c r="R9">
        <f t="shared" si="10"/>
        <v>7.9999469998473245</v>
      </c>
      <c r="S9">
        <f t="shared" si="0"/>
        <v>3.4743328375521676</v>
      </c>
      <c r="T9">
        <f t="shared" si="1"/>
        <v>3.3265611439641933</v>
      </c>
      <c r="U9">
        <f t="shared" si="2"/>
        <v>3.2798037799941038</v>
      </c>
      <c r="V9">
        <f t="shared" si="3"/>
        <v>1.7458551951737289</v>
      </c>
      <c r="W9">
        <f t="shared" si="4"/>
        <v>1.3747483460101038</v>
      </c>
    </row>
    <row r="10" spans="1:23">
      <c r="A10" t="s">
        <v>80</v>
      </c>
      <c r="B10">
        <v>3037.3</v>
      </c>
      <c r="C10">
        <v>2129.6999999999998</v>
      </c>
      <c r="D10">
        <v>1929.3</v>
      </c>
      <c r="E10">
        <v>59.4</v>
      </c>
      <c r="F10">
        <v>25</v>
      </c>
      <c r="G10" s="3">
        <f t="shared" si="5"/>
        <v>5.4852320675105516E-2</v>
      </c>
      <c r="H10" s="1">
        <f t="shared" si="6"/>
        <v>1.8954643048845945E-2</v>
      </c>
      <c r="I10" s="1"/>
      <c r="J10" s="1">
        <f t="shared" si="7"/>
        <v>4.0545000235726316E-3</v>
      </c>
      <c r="K10" s="1">
        <f t="shared" si="8"/>
        <v>1.2968602331198176E-2</v>
      </c>
      <c r="L10" s="1">
        <f t="shared" si="9"/>
        <v>6.6427289048473892E-2</v>
      </c>
      <c r="M10" s="1">
        <f t="shared" si="14"/>
        <v>3.2077202759183146E-2</v>
      </c>
      <c r="N10" s="1">
        <f t="shared" si="11"/>
        <v>2.6905829596412422E-2</v>
      </c>
      <c r="O10" s="1">
        <f t="shared" si="12"/>
        <v>4.2921238985891057E-2</v>
      </c>
      <c r="P10" s="1">
        <f t="shared" si="15"/>
        <v>0.21721311475409841</v>
      </c>
      <c r="Q10" s="1">
        <f t="shared" si="13"/>
        <v>5.0420168067226857E-2</v>
      </c>
      <c r="R10">
        <f t="shared" si="10"/>
        <v>8.0187242418596192</v>
      </c>
      <c r="S10">
        <f t="shared" si="0"/>
        <v>3.4824876901434689</v>
      </c>
      <c r="T10">
        <f t="shared" si="1"/>
        <v>3.3283184308938232</v>
      </c>
      <c r="U10">
        <f t="shared" si="2"/>
        <v>3.2853997643024302</v>
      </c>
      <c r="V10">
        <f t="shared" si="3"/>
        <v>1.7737864449811935</v>
      </c>
      <c r="W10">
        <f t="shared" si="4"/>
        <v>1.3979400086720377</v>
      </c>
    </row>
    <row r="11" spans="1:23">
      <c r="A11" t="s">
        <v>81</v>
      </c>
      <c r="B11">
        <v>3089.7</v>
      </c>
      <c r="C11">
        <v>2149.1</v>
      </c>
      <c r="D11">
        <v>1963.3</v>
      </c>
      <c r="E11">
        <v>60.1</v>
      </c>
      <c r="F11">
        <v>25.5</v>
      </c>
      <c r="G11" s="3">
        <f t="shared" si="5"/>
        <v>0.02</v>
      </c>
      <c r="H11" s="1">
        <f t="shared" si="6"/>
        <v>1.7252164751588462E-2</v>
      </c>
      <c r="I11" s="1"/>
      <c r="J11" s="1">
        <f t="shared" si="7"/>
        <v>9.109264215617266E-3</v>
      </c>
      <c r="K11" s="1">
        <f t="shared" si="8"/>
        <v>1.7622972062406053E-2</v>
      </c>
      <c r="L11" s="1">
        <f t="shared" si="9"/>
        <v>1.1784511784511833E-2</v>
      </c>
      <c r="M11" s="1">
        <f t="shared" si="14"/>
        <v>4.8279839858858559E-2</v>
      </c>
      <c r="N11" s="1">
        <f t="shared" si="11"/>
        <v>2.4356530028598621E-2</v>
      </c>
      <c r="O11" s="1">
        <f t="shared" si="12"/>
        <v>5.3555138180842475E-2</v>
      </c>
      <c r="P11" s="1">
        <f t="shared" si="15"/>
        <v>0.18540433925049307</v>
      </c>
      <c r="Q11" s="1">
        <f t="shared" si="13"/>
        <v>7.5949367088607625E-2</v>
      </c>
      <c r="R11">
        <f t="shared" si="10"/>
        <v>8.0358292777998663</v>
      </c>
      <c r="S11">
        <f t="shared" si="0"/>
        <v>3.4899163128650748</v>
      </c>
      <c r="T11">
        <f t="shared" si="1"/>
        <v>3.3322566241642049</v>
      </c>
      <c r="U11">
        <f t="shared" si="2"/>
        <v>3.2929866665841003</v>
      </c>
      <c r="V11">
        <f t="shared" si="3"/>
        <v>1.7788744720027396</v>
      </c>
      <c r="W11">
        <f t="shared" si="4"/>
        <v>1.4065401804339552</v>
      </c>
    </row>
    <row r="12" spans="1:23">
      <c r="A12" t="s">
        <v>82</v>
      </c>
      <c r="B12">
        <v>3125.8</v>
      </c>
      <c r="C12">
        <v>2193.9</v>
      </c>
      <c r="D12">
        <v>1989.1</v>
      </c>
      <c r="E12">
        <v>62.8</v>
      </c>
      <c r="F12">
        <v>26.1</v>
      </c>
      <c r="G12" s="3">
        <f t="shared" si="5"/>
        <v>2.3529411764705938E-2</v>
      </c>
      <c r="H12" s="1">
        <f t="shared" si="6"/>
        <v>1.1683982263650311E-2</v>
      </c>
      <c r="I12" s="1"/>
      <c r="J12" s="1">
        <f t="shared" si="7"/>
        <v>2.0845935507887107E-2</v>
      </c>
      <c r="K12" s="1">
        <f t="shared" si="8"/>
        <v>1.3141139917485842E-2</v>
      </c>
      <c r="L12" s="1">
        <f t="shared" si="9"/>
        <v>4.4925124792013237E-2</v>
      </c>
      <c r="M12" s="1">
        <f t="shared" si="14"/>
        <v>5.387727579231294E-2</v>
      </c>
      <c r="N12" s="1">
        <f t="shared" si="11"/>
        <v>4.1441184847621847E-2</v>
      </c>
      <c r="O12" s="1">
        <f t="shared" si="12"/>
        <v>5.9779423517502164E-2</v>
      </c>
      <c r="P12" s="1">
        <f t="shared" si="15"/>
        <v>0.15867158671586704</v>
      </c>
      <c r="Q12" s="1">
        <f t="shared" si="13"/>
        <v>9.6638655462184905E-2</v>
      </c>
      <c r="R12">
        <f t="shared" si="10"/>
        <v>8.047445529408094</v>
      </c>
      <c r="S12">
        <f t="shared" si="0"/>
        <v>3.4949611868389279</v>
      </c>
      <c r="T12">
        <f t="shared" si="1"/>
        <v>3.3412168281439101</v>
      </c>
      <c r="U12">
        <f t="shared" si="2"/>
        <v>3.2986566173911456</v>
      </c>
      <c r="V12">
        <f t="shared" si="3"/>
        <v>1.7979596437371961</v>
      </c>
      <c r="W12">
        <f t="shared" si="4"/>
        <v>1.4166405073382811</v>
      </c>
    </row>
    <row r="13" spans="1:23">
      <c r="A13" t="s">
        <v>83</v>
      </c>
      <c r="B13">
        <v>3175.5</v>
      </c>
      <c r="C13">
        <v>2272</v>
      </c>
      <c r="D13">
        <v>2032.1</v>
      </c>
      <c r="E13">
        <v>68.3</v>
      </c>
      <c r="F13">
        <v>26.5</v>
      </c>
      <c r="G13" s="3">
        <f t="shared" si="5"/>
        <v>1.5325670498084237E-2</v>
      </c>
      <c r="H13" s="1">
        <f t="shared" si="6"/>
        <v>1.5899929618017727E-2</v>
      </c>
      <c r="I13" s="1"/>
      <c r="J13" s="1">
        <f t="shared" si="7"/>
        <v>3.5598705501618082E-2</v>
      </c>
      <c r="K13" s="1">
        <f t="shared" si="8"/>
        <v>2.1617817103212509E-2</v>
      </c>
      <c r="L13" s="1">
        <f t="shared" si="9"/>
        <v>8.7579617834394913E-2</v>
      </c>
      <c r="M13" s="1">
        <f t="shared" si="14"/>
        <v>6.5318035426731008E-2</v>
      </c>
      <c r="N13" s="1">
        <f t="shared" si="11"/>
        <v>7.1142331808967091E-2</v>
      </c>
      <c r="O13" s="1">
        <f t="shared" si="12"/>
        <v>6.6943190171164554E-2</v>
      </c>
      <c r="P13" s="1">
        <f t="shared" si="15"/>
        <v>0.22621184919210041</v>
      </c>
      <c r="Q13" s="1">
        <f t="shared" si="13"/>
        <v>0.11814345991561184</v>
      </c>
      <c r="R13">
        <f t="shared" si="10"/>
        <v>8.0632203792430293</v>
      </c>
      <c r="S13">
        <f t="shared" si="0"/>
        <v>3.5018121170750933</v>
      </c>
      <c r="T13">
        <f t="shared" si="1"/>
        <v>3.3564083270389813</v>
      </c>
      <c r="U13">
        <f t="shared" si="2"/>
        <v>3.3079450758459306</v>
      </c>
      <c r="V13">
        <f t="shared" si="3"/>
        <v>1.8344207036815325</v>
      </c>
      <c r="W13">
        <f t="shared" si="4"/>
        <v>1.4232458739368079</v>
      </c>
    </row>
    <row r="14" spans="1:23">
      <c r="A14" t="s">
        <v>84</v>
      </c>
      <c r="B14">
        <v>3253.3</v>
      </c>
      <c r="C14">
        <v>2300.6999999999998</v>
      </c>
      <c r="D14">
        <v>2063.9</v>
      </c>
      <c r="E14">
        <v>79.099999999999994</v>
      </c>
      <c r="F14">
        <v>27</v>
      </c>
      <c r="G14" s="3">
        <f t="shared" si="5"/>
        <v>1.8867924528301886E-2</v>
      </c>
      <c r="H14" s="1">
        <f t="shared" si="6"/>
        <v>2.4500078727759465E-2</v>
      </c>
      <c r="I14" s="1"/>
      <c r="J14" s="1">
        <f t="shared" si="7"/>
        <v>1.2632042253521047E-2</v>
      </c>
      <c r="K14" s="1">
        <f t="shared" si="8"/>
        <v>1.5648836179321973E-2</v>
      </c>
      <c r="L14" s="1">
        <f t="shared" si="9"/>
        <v>0.15812591508052706</v>
      </c>
      <c r="M14" s="1">
        <f t="shared" si="14"/>
        <v>7.1115793632502547E-2</v>
      </c>
      <c r="N14" s="1">
        <f t="shared" si="11"/>
        <v>8.0292999013945626E-2</v>
      </c>
      <c r="O14" s="1">
        <f t="shared" si="12"/>
        <v>6.9766236458819339E-2</v>
      </c>
      <c r="P14" s="1">
        <f t="shared" si="15"/>
        <v>0.33164983164983158</v>
      </c>
      <c r="Q14" s="1">
        <f t="shared" si="13"/>
        <v>0.08</v>
      </c>
      <c r="R14">
        <f t="shared" si="10"/>
        <v>8.0874251447849002</v>
      </c>
      <c r="S14">
        <f t="shared" si="0"/>
        <v>3.5123241131856893</v>
      </c>
      <c r="T14">
        <f t="shared" si="1"/>
        <v>3.3618599924892942</v>
      </c>
      <c r="U14">
        <f t="shared" si="2"/>
        <v>3.3146886510461164</v>
      </c>
      <c r="V14">
        <f t="shared" si="3"/>
        <v>1.8981764834976764</v>
      </c>
      <c r="W14">
        <f t="shared" si="4"/>
        <v>1.4313637641589874</v>
      </c>
    </row>
    <row r="15" spans="1:23">
      <c r="A15" t="s">
        <v>85</v>
      </c>
      <c r="B15">
        <v>3267.6</v>
      </c>
      <c r="C15">
        <v>2315.1999999999998</v>
      </c>
      <c r="D15">
        <v>2062</v>
      </c>
      <c r="E15">
        <v>81.2</v>
      </c>
      <c r="F15">
        <v>27.8</v>
      </c>
      <c r="G15" s="3">
        <f t="shared" si="5"/>
        <v>2.9629629629629655E-2</v>
      </c>
      <c r="H15" s="1">
        <f t="shared" si="6"/>
        <v>4.3955368395167142E-3</v>
      </c>
      <c r="I15" s="1"/>
      <c r="J15" s="1">
        <f t="shared" si="7"/>
        <v>6.3024296953101237E-3</v>
      </c>
      <c r="K15" s="1">
        <f t="shared" si="8"/>
        <v>-9.2058723775381116E-4</v>
      </c>
      <c r="L15" s="1">
        <f t="shared" si="9"/>
        <v>2.6548672566371792E-2</v>
      </c>
      <c r="M15" s="1">
        <f t="shared" si="14"/>
        <v>5.7578405670453477E-2</v>
      </c>
      <c r="N15" s="1">
        <f t="shared" si="11"/>
        <v>7.7288167139732869E-2</v>
      </c>
      <c r="O15" s="1">
        <f t="shared" si="12"/>
        <v>5.0272500382009908E-2</v>
      </c>
      <c r="P15" s="1">
        <f t="shared" si="15"/>
        <v>0.35108153078202997</v>
      </c>
      <c r="Q15" s="1">
        <f t="shared" si="13"/>
        <v>9.0196078431372576E-2</v>
      </c>
      <c r="R15">
        <f t="shared" si="10"/>
        <v>8.0918110494677133</v>
      </c>
      <c r="S15">
        <f t="shared" si="0"/>
        <v>3.5142288873875893</v>
      </c>
      <c r="T15">
        <f t="shared" si="1"/>
        <v>3.364588513774962</v>
      </c>
      <c r="U15">
        <f t="shared" si="2"/>
        <v>3.3142886609474975</v>
      </c>
      <c r="V15">
        <f t="shared" si="3"/>
        <v>1.9095560292411753</v>
      </c>
      <c r="W15">
        <f t="shared" si="4"/>
        <v>1.4440447959180762</v>
      </c>
    </row>
    <row r="16" spans="1:23">
      <c r="A16" t="s">
        <v>86</v>
      </c>
      <c r="B16">
        <v>3264.3</v>
      </c>
      <c r="C16">
        <v>2337.9</v>
      </c>
      <c r="D16">
        <v>2073.6999999999998</v>
      </c>
      <c r="E16">
        <v>81.3</v>
      </c>
      <c r="F16">
        <v>28.3</v>
      </c>
      <c r="G16" s="3">
        <f t="shared" si="5"/>
        <v>1.7985611510791366E-2</v>
      </c>
      <c r="H16" s="1">
        <f t="shared" si="6"/>
        <v>-1.0099155343370448E-3</v>
      </c>
      <c r="I16" s="1"/>
      <c r="J16" s="1">
        <f t="shared" si="7"/>
        <v>9.8047684865239619E-3</v>
      </c>
      <c r="K16" s="1">
        <f t="shared" si="8"/>
        <v>5.6741028128030153E-3</v>
      </c>
      <c r="L16" s="1">
        <f t="shared" si="9"/>
        <v>1.2315270935959891E-3</v>
      </c>
      <c r="M16" s="1">
        <f t="shared" si="14"/>
        <v>4.4308656983812145E-2</v>
      </c>
      <c r="N16" s="1">
        <f t="shared" si="11"/>
        <v>6.563653767263776E-2</v>
      </c>
      <c r="O16" s="1">
        <f t="shared" si="12"/>
        <v>4.2531798300738985E-2</v>
      </c>
      <c r="P16" s="1">
        <f t="shared" si="15"/>
        <v>0.29458598726114649</v>
      </c>
      <c r="Q16" s="1">
        <f t="shared" si="13"/>
        <v>8.4291187739463563E-2</v>
      </c>
      <c r="R16">
        <f t="shared" si="10"/>
        <v>8.0908006236250767</v>
      </c>
      <c r="S16">
        <f t="shared" si="0"/>
        <v>3.5137900650197591</v>
      </c>
      <c r="T16">
        <f t="shared" si="1"/>
        <v>3.3688259309588453</v>
      </c>
      <c r="U16">
        <f t="shared" si="2"/>
        <v>3.3167459276709317</v>
      </c>
      <c r="V16">
        <f t="shared" si="3"/>
        <v>1.9100905455940682</v>
      </c>
      <c r="W16">
        <f t="shared" si="4"/>
        <v>1.4517864355242902</v>
      </c>
    </row>
    <row r="17" spans="1:23">
      <c r="A17" t="s">
        <v>87</v>
      </c>
      <c r="B17">
        <v>3289.1</v>
      </c>
      <c r="C17">
        <v>2382.6999999999998</v>
      </c>
      <c r="D17">
        <v>2067.4</v>
      </c>
      <c r="E17">
        <v>85</v>
      </c>
      <c r="F17">
        <v>29.4</v>
      </c>
      <c r="G17" s="3">
        <f t="shared" si="5"/>
        <v>3.8869257950529958E-2</v>
      </c>
      <c r="H17" s="1">
        <f t="shared" si="6"/>
        <v>7.5973409306741803E-3</v>
      </c>
      <c r="I17" s="1"/>
      <c r="J17" s="1">
        <f t="shared" si="7"/>
        <v>1.9162496257324833E-2</v>
      </c>
      <c r="K17" s="1">
        <f t="shared" si="8"/>
        <v>-3.038047933645044E-3</v>
      </c>
      <c r="L17" s="1">
        <f t="shared" si="9"/>
        <v>4.5510455104551081E-2</v>
      </c>
      <c r="M17" s="1">
        <f t="shared" si="14"/>
        <v>3.5773893874980291E-2</v>
      </c>
      <c r="N17" s="1">
        <f t="shared" si="11"/>
        <v>4.8723591549295696E-2</v>
      </c>
      <c r="O17" s="1">
        <f t="shared" si="12"/>
        <v>1.7371192362580671E-2</v>
      </c>
      <c r="P17" s="1">
        <f t="shared" si="15"/>
        <v>0.24450951683748176</v>
      </c>
      <c r="Q17" s="1">
        <f t="shared" si="13"/>
        <v>0.10943396226415089</v>
      </c>
      <c r="R17">
        <f t="shared" si="10"/>
        <v>8.0983692501050832</v>
      </c>
      <c r="S17">
        <f t="shared" si="0"/>
        <v>3.5170770777356135</v>
      </c>
      <c r="T17">
        <f t="shared" si="1"/>
        <v>3.3770693648196528</v>
      </c>
      <c r="U17">
        <f t="shared" si="2"/>
        <v>3.3154245119375161</v>
      </c>
      <c r="V17">
        <f t="shared" si="3"/>
        <v>1.9294189257142926</v>
      </c>
      <c r="W17">
        <f t="shared" si="4"/>
        <v>1.4683473304121573</v>
      </c>
    </row>
    <row r="18" spans="1:23">
      <c r="A18" t="s">
        <v>88</v>
      </c>
      <c r="B18">
        <v>3259.4</v>
      </c>
      <c r="C18">
        <v>2334.6999999999998</v>
      </c>
      <c r="D18">
        <v>2050.8000000000002</v>
      </c>
      <c r="E18">
        <v>89</v>
      </c>
      <c r="F18">
        <v>29.8</v>
      </c>
      <c r="G18" s="3">
        <f t="shared" si="5"/>
        <v>1.3605442176870821E-2</v>
      </c>
      <c r="H18" s="1">
        <f t="shared" si="6"/>
        <v>-9.0298257882094855E-3</v>
      </c>
      <c r="I18" s="1"/>
      <c r="J18" s="1">
        <f t="shared" si="7"/>
        <v>-2.0145213413354599E-2</v>
      </c>
      <c r="K18" s="1">
        <f t="shared" si="8"/>
        <v>-8.0294089194156461E-3</v>
      </c>
      <c r="L18" s="1">
        <f t="shared" si="9"/>
        <v>4.7058823529411764E-2</v>
      </c>
      <c r="M18" s="1">
        <f t="shared" si="14"/>
        <v>1.8750192112623825E-3</v>
      </c>
      <c r="N18" s="1">
        <f t="shared" si="11"/>
        <v>1.4778111009692703E-2</v>
      </c>
      <c r="O18" s="1">
        <f t="shared" si="12"/>
        <v>-6.3472067445127711E-3</v>
      </c>
      <c r="P18" s="1">
        <f t="shared" si="15"/>
        <v>0.12515802781289515</v>
      </c>
      <c r="Q18" s="1">
        <f t="shared" si="13"/>
        <v>0.10370370370370373</v>
      </c>
      <c r="R18">
        <f t="shared" si="10"/>
        <v>8.0892984083418877</v>
      </c>
      <c r="S18">
        <f t="shared" si="0"/>
        <v>3.5131376612116401</v>
      </c>
      <c r="T18">
        <f t="shared" si="1"/>
        <v>3.3682310833111293</v>
      </c>
      <c r="U18">
        <f t="shared" si="2"/>
        <v>3.3119233087683617</v>
      </c>
      <c r="V18">
        <f t="shared" si="3"/>
        <v>1.9493900066449128</v>
      </c>
      <c r="W18">
        <f t="shared" si="4"/>
        <v>1.4742162640762553</v>
      </c>
    </row>
    <row r="19" spans="1:23">
      <c r="A19" t="s">
        <v>89</v>
      </c>
      <c r="B19">
        <v>3267.6</v>
      </c>
      <c r="C19">
        <v>2304.5</v>
      </c>
      <c r="D19">
        <v>2059</v>
      </c>
      <c r="E19">
        <v>91.2</v>
      </c>
      <c r="F19">
        <v>30.4</v>
      </c>
      <c r="G19" s="3">
        <f t="shared" si="5"/>
        <v>2.0134228187919392E-2</v>
      </c>
      <c r="H19" s="1">
        <f t="shared" si="6"/>
        <v>2.5158004540712458E-3</v>
      </c>
      <c r="I19" s="1"/>
      <c r="J19" s="1">
        <f t="shared" si="7"/>
        <v>-1.2935280764123794E-2</v>
      </c>
      <c r="K19" s="1">
        <f t="shared" si="8"/>
        <v>3.9984396333137395E-3</v>
      </c>
      <c r="L19" s="1">
        <f t="shared" si="9"/>
        <v>2.4719101123595537E-2</v>
      </c>
      <c r="M19" s="1">
        <f t="shared" si="14"/>
        <v>0</v>
      </c>
      <c r="N19" s="1">
        <f t="shared" si="11"/>
        <v>-4.6216309606080764E-3</v>
      </c>
      <c r="O19" s="1">
        <f t="shared" si="12"/>
        <v>-1.454898157129001E-3</v>
      </c>
      <c r="P19" s="1">
        <f t="shared" si="15"/>
        <v>0.12315270935960591</v>
      </c>
      <c r="Q19" s="1">
        <f t="shared" si="13"/>
        <v>9.3525179856115026E-2</v>
      </c>
      <c r="R19">
        <f t="shared" si="10"/>
        <v>8.0918110494677133</v>
      </c>
      <c r="S19">
        <f t="shared" si="0"/>
        <v>3.5142288873875893</v>
      </c>
      <c r="T19">
        <f t="shared" si="1"/>
        <v>3.3625767124605392</v>
      </c>
      <c r="U19">
        <f t="shared" si="2"/>
        <v>3.3136563466180315</v>
      </c>
      <c r="V19">
        <f t="shared" si="3"/>
        <v>1.9599948383284163</v>
      </c>
      <c r="W19">
        <f t="shared" si="4"/>
        <v>1.4828735836087537</v>
      </c>
    </row>
    <row r="20" spans="1:23">
      <c r="A20" t="s">
        <v>90</v>
      </c>
      <c r="B20">
        <v>3239.1</v>
      </c>
      <c r="C20">
        <v>2315</v>
      </c>
      <c r="D20">
        <v>2065.5</v>
      </c>
      <c r="E20">
        <v>97.1</v>
      </c>
      <c r="F20">
        <v>30.9</v>
      </c>
      <c r="G20" s="3">
        <f t="shared" si="5"/>
        <v>1.6447368421052631E-2</v>
      </c>
      <c r="H20" s="1">
        <f t="shared" si="6"/>
        <v>-8.7219977965479253E-3</v>
      </c>
      <c r="I20" s="1"/>
      <c r="J20" s="1">
        <f t="shared" si="7"/>
        <v>4.5563028856584944E-3</v>
      </c>
      <c r="K20" s="1">
        <f t="shared" si="8"/>
        <v>3.1568722680913063E-3</v>
      </c>
      <c r="L20" s="1">
        <f t="shared" si="9"/>
        <v>6.4692982456140261E-2</v>
      </c>
      <c r="M20" s="1">
        <f t="shared" si="14"/>
        <v>-7.7198786876207064E-3</v>
      </c>
      <c r="N20" s="1">
        <f t="shared" si="11"/>
        <v>-9.7951152743915859E-3</v>
      </c>
      <c r="O20" s="1">
        <f t="shared" si="12"/>
        <v>-3.9542846120460134E-3</v>
      </c>
      <c r="P20" s="1">
        <f t="shared" si="15"/>
        <v>0.19434194341943417</v>
      </c>
      <c r="Q20" s="1">
        <f t="shared" si="13"/>
        <v>9.1872791519434546E-2</v>
      </c>
      <c r="R20">
        <f t="shared" si="10"/>
        <v>8.0830507924212043</v>
      </c>
      <c r="S20">
        <f t="shared" si="0"/>
        <v>3.5104243560922361</v>
      </c>
      <c r="T20">
        <f t="shared" si="1"/>
        <v>3.3645509953539721</v>
      </c>
      <c r="U20">
        <f t="shared" si="2"/>
        <v>3.315025199312605</v>
      </c>
      <c r="V20">
        <f t="shared" si="3"/>
        <v>1.9872192299080049</v>
      </c>
      <c r="W20">
        <f t="shared" si="4"/>
        <v>1.4899584794248346</v>
      </c>
    </row>
    <row r="21" spans="1:23">
      <c r="A21" t="s">
        <v>91</v>
      </c>
      <c r="B21">
        <v>3226.4</v>
      </c>
      <c r="C21">
        <v>2313.6999999999998</v>
      </c>
      <c r="D21">
        <v>2039.9</v>
      </c>
      <c r="E21">
        <v>86.8</v>
      </c>
      <c r="F21">
        <v>30.5</v>
      </c>
      <c r="G21" s="3">
        <f t="shared" si="5"/>
        <v>-1.294498381877018E-2</v>
      </c>
      <c r="H21" s="1">
        <f t="shared" si="6"/>
        <v>-3.9208422092556015E-3</v>
      </c>
      <c r="I21" s="1"/>
      <c r="J21" s="1">
        <f t="shared" si="7"/>
        <v>-5.6155507559403108E-4</v>
      </c>
      <c r="K21" s="1">
        <f t="shared" si="8"/>
        <v>-1.239409343984503E-2</v>
      </c>
      <c r="L21" s="1">
        <f t="shared" si="9"/>
        <v>-0.10607621009268793</v>
      </c>
      <c r="M21" s="1">
        <f t="shared" si="14"/>
        <v>-1.9062965552886751E-2</v>
      </c>
      <c r="N21" s="1">
        <f t="shared" si="11"/>
        <v>-2.8958744281697237E-2</v>
      </c>
      <c r="O21" s="1">
        <f t="shared" si="12"/>
        <v>-1.3301731643610331E-2</v>
      </c>
      <c r="P21" s="1">
        <f t="shared" si="15"/>
        <v>2.1176470588235262E-2</v>
      </c>
      <c r="Q21" s="1">
        <f t="shared" si="13"/>
        <v>3.7414965986394606E-2</v>
      </c>
      <c r="R21">
        <f t="shared" si="10"/>
        <v>8.0791222435591585</v>
      </c>
      <c r="S21">
        <f t="shared" si="0"/>
        <v>3.5087182089995621</v>
      </c>
      <c r="T21">
        <f t="shared" si="1"/>
        <v>3.3643070465816085</v>
      </c>
      <c r="U21">
        <f t="shared" si="2"/>
        <v>3.3096088779589024</v>
      </c>
      <c r="V21">
        <f t="shared" si="3"/>
        <v>1.9385197251764918</v>
      </c>
      <c r="W21">
        <f t="shared" si="4"/>
        <v>1.4842998393467859</v>
      </c>
    </row>
    <row r="22" spans="1:23">
      <c r="A22" t="s">
        <v>92</v>
      </c>
      <c r="B22">
        <v>3154</v>
      </c>
      <c r="C22">
        <v>2282.5</v>
      </c>
      <c r="D22">
        <v>2051.8000000000002</v>
      </c>
      <c r="E22">
        <v>75.8</v>
      </c>
      <c r="F22">
        <v>30</v>
      </c>
      <c r="G22" s="3">
        <f t="shared" si="5"/>
        <v>-1.6393442622950821E-2</v>
      </c>
      <c r="H22" s="1">
        <f t="shared" si="6"/>
        <v>-2.2439871063724304E-2</v>
      </c>
      <c r="I22" s="1"/>
      <c r="J22" s="1">
        <f t="shared" si="7"/>
        <v>-1.3484894325106894E-2</v>
      </c>
      <c r="K22" s="1">
        <f t="shared" si="8"/>
        <v>5.8336192950635283E-3</v>
      </c>
      <c r="L22" s="1">
        <f t="shared" si="9"/>
        <v>-0.12672811059907835</v>
      </c>
      <c r="M22" s="1">
        <f t="shared" si="14"/>
        <v>-3.2337239982818948E-2</v>
      </c>
      <c r="N22" s="1">
        <f t="shared" si="11"/>
        <v>-2.2358332976399463E-2</v>
      </c>
      <c r="O22" s="1">
        <f t="shared" si="12"/>
        <v>4.8761458942851564E-4</v>
      </c>
      <c r="P22" s="1">
        <f t="shared" si="15"/>
        <v>-0.14831460674157307</v>
      </c>
      <c r="Q22" s="1">
        <f t="shared" si="13"/>
        <v>6.7114093959731299E-3</v>
      </c>
      <c r="R22">
        <f t="shared" si="10"/>
        <v>8.0564267675229839</v>
      </c>
      <c r="S22">
        <f t="shared" si="0"/>
        <v>3.4988616889928839</v>
      </c>
      <c r="T22">
        <f t="shared" si="1"/>
        <v>3.3584107862063366</v>
      </c>
      <c r="U22">
        <f t="shared" si="2"/>
        <v>3.3121350254799613</v>
      </c>
      <c r="V22">
        <f t="shared" si="3"/>
        <v>1.8796692056320534</v>
      </c>
      <c r="W22">
        <f t="shared" si="4"/>
        <v>1.4771212547196624</v>
      </c>
    </row>
    <row r="23" spans="1:23">
      <c r="A23" t="s">
        <v>93</v>
      </c>
      <c r="B23">
        <v>3190.4</v>
      </c>
      <c r="C23">
        <v>2390.3000000000002</v>
      </c>
      <c r="D23">
        <v>2086.9</v>
      </c>
      <c r="E23">
        <v>81</v>
      </c>
      <c r="F23">
        <v>29.7</v>
      </c>
      <c r="G23" s="3">
        <f t="shared" si="5"/>
        <v>-1.0000000000000024E-2</v>
      </c>
      <c r="H23" s="1">
        <f t="shared" si="6"/>
        <v>1.1540900443880816E-2</v>
      </c>
      <c r="I23" s="1"/>
      <c r="J23" s="1">
        <f t="shared" si="7"/>
        <v>4.7228915662650681E-2</v>
      </c>
      <c r="K23" s="1">
        <f t="shared" si="8"/>
        <v>1.7106930500048693E-2</v>
      </c>
      <c r="L23" s="1">
        <f t="shared" si="9"/>
        <v>6.8601583113456502E-2</v>
      </c>
      <c r="M23" s="1">
        <f t="shared" si="14"/>
        <v>-2.3625902803280641E-2</v>
      </c>
      <c r="N23" s="1">
        <f t="shared" si="11"/>
        <v>3.7231503579952349E-2</v>
      </c>
      <c r="O23" s="1">
        <f t="shared" si="12"/>
        <v>1.355026711996119E-2</v>
      </c>
      <c r="P23" s="1">
        <f t="shared" si="15"/>
        <v>-0.11184210526315792</v>
      </c>
      <c r="Q23" s="1">
        <f t="shared" si="13"/>
        <v>-2.3026315789473662E-2</v>
      </c>
      <c r="R23">
        <f t="shared" si="10"/>
        <v>8.0679015797675184</v>
      </c>
      <c r="S23">
        <f t="shared" si="0"/>
        <v>3.5038451366315617</v>
      </c>
      <c r="T23">
        <f t="shared" si="1"/>
        <v>3.3784524114787495</v>
      </c>
      <c r="U23">
        <f t="shared" si="2"/>
        <v>3.3195016390564942</v>
      </c>
      <c r="V23">
        <f t="shared" si="3"/>
        <v>1.9084850188786497</v>
      </c>
      <c r="W23">
        <f t="shared" si="4"/>
        <v>1.4727564493172123</v>
      </c>
    </row>
    <row r="24" spans="1:23">
      <c r="A24" t="s">
        <v>94</v>
      </c>
      <c r="B24">
        <v>3249.9</v>
      </c>
      <c r="C24">
        <v>2354.4</v>
      </c>
      <c r="D24">
        <v>2114.4</v>
      </c>
      <c r="E24">
        <v>97.8</v>
      </c>
      <c r="F24">
        <v>30.1</v>
      </c>
      <c r="G24" s="3">
        <f t="shared" si="5"/>
        <v>1.346801346801354E-2</v>
      </c>
      <c r="H24" s="1">
        <f t="shared" si="6"/>
        <v>1.8649699097291875E-2</v>
      </c>
      <c r="I24" s="1"/>
      <c r="J24" s="1">
        <f t="shared" si="7"/>
        <v>-1.5019035267539676E-2</v>
      </c>
      <c r="K24" s="1">
        <f t="shared" si="8"/>
        <v>1.3177440222339354E-2</v>
      </c>
      <c r="L24" s="1">
        <f t="shared" si="9"/>
        <v>0.20740740740740737</v>
      </c>
      <c r="M24" s="1">
        <f t="shared" si="14"/>
        <v>3.3342595165324262E-3</v>
      </c>
      <c r="N24" s="1">
        <f t="shared" si="11"/>
        <v>1.7019438444924446E-2</v>
      </c>
      <c r="O24" s="1">
        <f t="shared" si="12"/>
        <v>2.3674655047204111E-2</v>
      </c>
      <c r="P24" s="1">
        <f t="shared" si="15"/>
        <v>7.2090628218331914E-3</v>
      </c>
      <c r="Q24" s="1">
        <f t="shared" si="13"/>
        <v>-2.5889967637540361E-2</v>
      </c>
      <c r="R24">
        <f t="shared" si="10"/>
        <v>8.0863795056196306</v>
      </c>
      <c r="S24">
        <f t="shared" si="0"/>
        <v>3.5118699978661514</v>
      </c>
      <c r="T24">
        <f t="shared" si="1"/>
        <v>3.3718802490915545</v>
      </c>
      <c r="U24">
        <f t="shared" si="2"/>
        <v>3.3251871501236541</v>
      </c>
      <c r="V24">
        <f t="shared" si="3"/>
        <v>1.9903388547876015</v>
      </c>
      <c r="W24">
        <f t="shared" si="4"/>
        <v>1.4785664955938433</v>
      </c>
    </row>
    <row r="25" spans="1:23">
      <c r="A25" t="s">
        <v>95</v>
      </c>
      <c r="B25">
        <v>3292.5</v>
      </c>
      <c r="C25">
        <v>2389.4</v>
      </c>
      <c r="D25">
        <v>2137</v>
      </c>
      <c r="E25">
        <v>103.4</v>
      </c>
      <c r="F25">
        <v>30.6</v>
      </c>
      <c r="G25" s="3">
        <f t="shared" si="5"/>
        <v>1.6611295681063121E-2</v>
      </c>
      <c r="H25" s="1">
        <f t="shared" si="6"/>
        <v>1.3108095633711778E-2</v>
      </c>
      <c r="I25" s="1"/>
      <c r="J25" s="1">
        <f t="shared" si="7"/>
        <v>1.4865783214407067E-2</v>
      </c>
      <c r="K25" s="1">
        <f t="shared" si="8"/>
        <v>1.0688611426409339E-2</v>
      </c>
      <c r="L25" s="1">
        <f t="shared" si="9"/>
        <v>5.7259713701431583E-2</v>
      </c>
      <c r="M25" s="1">
        <f t="shared" si="14"/>
        <v>2.0487230349615641E-2</v>
      </c>
      <c r="N25" s="1">
        <f t="shared" si="11"/>
        <v>3.2718157064442359E-2</v>
      </c>
      <c r="O25" s="1">
        <f t="shared" si="12"/>
        <v>4.760037256728266E-2</v>
      </c>
      <c r="P25" s="1">
        <f t="shared" si="15"/>
        <v>0.19124423963133652</v>
      </c>
      <c r="Q25" s="1">
        <f t="shared" si="13"/>
        <v>3.2786885245902103E-3</v>
      </c>
      <c r="R25">
        <f t="shared" si="10"/>
        <v>8.0994024336174366</v>
      </c>
      <c r="S25">
        <f t="shared" si="0"/>
        <v>3.5175257836338214</v>
      </c>
      <c r="T25">
        <f t="shared" si="1"/>
        <v>3.3782888593569291</v>
      </c>
      <c r="U25">
        <f t="shared" si="2"/>
        <v>3.3298045221640695</v>
      </c>
      <c r="V25">
        <f t="shared" si="3"/>
        <v>2.0145205387579237</v>
      </c>
      <c r="W25">
        <f t="shared" si="4"/>
        <v>1.4857214264815801</v>
      </c>
    </row>
    <row r="26" spans="1:23">
      <c r="A26" t="s">
        <v>96</v>
      </c>
      <c r="B26">
        <v>3356.7</v>
      </c>
      <c r="C26">
        <v>2424.5</v>
      </c>
      <c r="D26">
        <v>2179.3000000000002</v>
      </c>
      <c r="E26">
        <v>108.4</v>
      </c>
      <c r="F26">
        <v>32.6</v>
      </c>
      <c r="G26" s="3">
        <f t="shared" si="5"/>
        <v>6.535947712418301E-2</v>
      </c>
      <c r="H26" s="1">
        <f t="shared" si="6"/>
        <v>1.9498861047835936E-2</v>
      </c>
      <c r="I26" s="1"/>
      <c r="J26" s="1">
        <f t="shared" si="7"/>
        <v>1.468988030467896E-2</v>
      </c>
      <c r="K26" s="1">
        <f t="shared" si="8"/>
        <v>1.9794103883949546E-2</v>
      </c>
      <c r="L26" s="1">
        <f t="shared" si="9"/>
        <v>4.8355899419729204E-2</v>
      </c>
      <c r="M26" s="1">
        <f t="shared" si="14"/>
        <v>6.4267596702599822E-2</v>
      </c>
      <c r="N26" s="1">
        <f t="shared" si="11"/>
        <v>6.2212486308871849E-2</v>
      </c>
      <c r="O26" s="1">
        <f t="shared" si="12"/>
        <v>6.214055950872404E-2</v>
      </c>
      <c r="P26" s="1">
        <f t="shared" si="15"/>
        <v>0.43007915567282334</v>
      </c>
      <c r="Q26" s="1">
        <f t="shared" si="13"/>
        <v>8.6666666666666711E-2</v>
      </c>
      <c r="R26">
        <f t="shared" si="10"/>
        <v>8.1187136274817853</v>
      </c>
      <c r="S26">
        <f t="shared" si="0"/>
        <v>3.5259125285680719</v>
      </c>
      <c r="T26">
        <f t="shared" si="1"/>
        <v>3.3846221884515431</v>
      </c>
      <c r="U26">
        <f t="shared" si="2"/>
        <v>3.3383170188540965</v>
      </c>
      <c r="V26">
        <f t="shared" si="3"/>
        <v>2.0350292822023683</v>
      </c>
      <c r="W26">
        <f t="shared" si="4"/>
        <v>1.5132176000679389</v>
      </c>
    </row>
    <row r="27" spans="1:23">
      <c r="A27" t="s">
        <v>97</v>
      </c>
      <c r="B27">
        <v>3369.2</v>
      </c>
      <c r="C27">
        <v>2434.9</v>
      </c>
      <c r="D27">
        <v>2194.6999999999998</v>
      </c>
      <c r="E27">
        <v>109.2</v>
      </c>
      <c r="F27">
        <v>35</v>
      </c>
      <c r="G27" s="3">
        <f t="shared" si="5"/>
        <v>7.361963190184044E-2</v>
      </c>
      <c r="H27" s="1">
        <f t="shared" si="6"/>
        <v>3.7238954925968961E-3</v>
      </c>
      <c r="I27" s="1"/>
      <c r="J27" s="1">
        <f t="shared" si="7"/>
        <v>4.2895442359249707E-3</v>
      </c>
      <c r="K27" s="1">
        <f t="shared" si="8"/>
        <v>7.0664892396639445E-3</v>
      </c>
      <c r="L27" s="1">
        <f t="shared" si="9"/>
        <v>7.3800738007379811E-3</v>
      </c>
      <c r="M27" s="1">
        <f t="shared" si="14"/>
        <v>5.6043129388164407E-2</v>
      </c>
      <c r="N27" s="1">
        <f t="shared" si="11"/>
        <v>1.8658745764129986E-2</v>
      </c>
      <c r="O27" s="1">
        <f t="shared" si="12"/>
        <v>5.165556567157014E-2</v>
      </c>
      <c r="P27" s="1">
        <f t="shared" si="15"/>
        <v>0.34814814814814821</v>
      </c>
      <c r="Q27" s="1">
        <f t="shared" si="13"/>
        <v>0.17845117845117847</v>
      </c>
      <c r="R27">
        <f t="shared" si="10"/>
        <v>8.122430606441208</v>
      </c>
      <c r="S27">
        <f t="shared" si="0"/>
        <v>3.5275267920195001</v>
      </c>
      <c r="T27">
        <f t="shared" si="1"/>
        <v>3.3864811296820743</v>
      </c>
      <c r="U27">
        <f t="shared" si="2"/>
        <v>3.341375163644694</v>
      </c>
      <c r="V27">
        <f t="shared" si="3"/>
        <v>2.0382226383687185</v>
      </c>
      <c r="W27">
        <f t="shared" si="4"/>
        <v>1.5440680443502757</v>
      </c>
    </row>
    <row r="28" spans="1:23">
      <c r="A28" t="s">
        <v>98</v>
      </c>
      <c r="B28">
        <v>3381</v>
      </c>
      <c r="C28">
        <v>2444.6999999999998</v>
      </c>
      <c r="D28">
        <v>2213</v>
      </c>
      <c r="E28">
        <v>110</v>
      </c>
      <c r="F28">
        <v>36.6</v>
      </c>
      <c r="G28" s="3">
        <f t="shared" si="5"/>
        <v>4.5714285714285756E-2</v>
      </c>
      <c r="H28" s="1">
        <f t="shared" si="6"/>
        <v>3.5023150896355761E-3</v>
      </c>
      <c r="I28" s="1"/>
      <c r="J28" s="1">
        <f t="shared" si="7"/>
        <v>4.0248059468560218E-3</v>
      </c>
      <c r="K28" s="1">
        <f t="shared" si="8"/>
        <v>8.3382694673532522E-3</v>
      </c>
      <c r="L28" s="1">
        <f t="shared" si="9"/>
        <v>7.3260073260073E-3</v>
      </c>
      <c r="M28" s="1">
        <f t="shared" si="14"/>
        <v>4.0339702760084896E-2</v>
      </c>
      <c r="N28" s="1">
        <f t="shared" si="11"/>
        <v>3.8353720693170119E-2</v>
      </c>
      <c r="O28" s="1">
        <f t="shared" si="12"/>
        <v>4.6632614453272749E-2</v>
      </c>
      <c r="P28" s="1">
        <f t="shared" si="15"/>
        <v>0.12474437627811864</v>
      </c>
      <c r="Q28" s="1">
        <f t="shared" si="13"/>
        <v>0.2159468438538206</v>
      </c>
      <c r="R28">
        <f t="shared" si="10"/>
        <v>8.1259268027078857</v>
      </c>
      <c r="S28">
        <f t="shared" si="0"/>
        <v>3.5290451707657691</v>
      </c>
      <c r="T28">
        <f t="shared" si="1"/>
        <v>3.3882255725236985</v>
      </c>
      <c r="U28">
        <f t="shared" si="2"/>
        <v>3.344981413927258</v>
      </c>
      <c r="V28">
        <f t="shared" si="3"/>
        <v>2.0413926851582249</v>
      </c>
      <c r="W28">
        <f t="shared" si="4"/>
        <v>1.5634810853944108</v>
      </c>
    </row>
    <row r="29" spans="1:23">
      <c r="A29" t="s">
        <v>99</v>
      </c>
      <c r="B29">
        <v>3416.3</v>
      </c>
      <c r="C29">
        <v>2459.5</v>
      </c>
      <c r="D29">
        <v>2242</v>
      </c>
      <c r="E29">
        <v>110.3</v>
      </c>
      <c r="F29">
        <v>38.299999999999997</v>
      </c>
      <c r="G29" s="3">
        <f t="shared" si="5"/>
        <v>4.6448087431693874E-2</v>
      </c>
      <c r="H29" s="1">
        <f t="shared" si="6"/>
        <v>1.0440698018337824E-2</v>
      </c>
      <c r="I29" s="1"/>
      <c r="J29" s="1">
        <f t="shared" si="7"/>
        <v>6.0539125455066813E-3</v>
      </c>
      <c r="K29" s="1">
        <f t="shared" si="8"/>
        <v>1.3104383190239493E-2</v>
      </c>
      <c r="L29" s="1">
        <f t="shared" si="9"/>
        <v>2.7272727272727015E-3</v>
      </c>
      <c r="M29" s="1">
        <f t="shared" si="14"/>
        <v>3.7600607441154191E-2</v>
      </c>
      <c r="N29" s="1">
        <f t="shared" si="11"/>
        <v>2.9337909098518418E-2</v>
      </c>
      <c r="O29" s="1">
        <f t="shared" si="12"/>
        <v>4.9134300421151147E-2</v>
      </c>
      <c r="P29" s="1">
        <f t="shared" si="15"/>
        <v>6.6731141199226213E-2</v>
      </c>
      <c r="Q29" s="1">
        <f t="shared" si="13"/>
        <v>0.2516339869281044</v>
      </c>
      <c r="R29">
        <f t="shared" si="10"/>
        <v>8.1363133730663844</v>
      </c>
      <c r="S29">
        <f t="shared" si="0"/>
        <v>3.5335560009583649</v>
      </c>
      <c r="T29">
        <f t="shared" si="1"/>
        <v>3.3908468268953502</v>
      </c>
      <c r="U29">
        <f t="shared" si="2"/>
        <v>3.3506356082589543</v>
      </c>
      <c r="V29">
        <f t="shared" si="3"/>
        <v>2.0425755124401905</v>
      </c>
      <c r="W29">
        <f t="shared" si="4"/>
        <v>1.5831987739686226</v>
      </c>
    </row>
    <row r="30" spans="1:23">
      <c r="A30" t="s">
        <v>100</v>
      </c>
      <c r="B30">
        <v>3466.4</v>
      </c>
      <c r="C30">
        <v>2463</v>
      </c>
      <c r="D30">
        <v>2271.3000000000002</v>
      </c>
      <c r="E30">
        <v>121.5</v>
      </c>
      <c r="F30">
        <v>39.200000000000003</v>
      </c>
      <c r="G30" s="3">
        <f t="shared" si="5"/>
        <v>2.3498694516971428E-2</v>
      </c>
      <c r="H30" s="1">
        <f t="shared" si="6"/>
        <v>1.4664988437783539E-2</v>
      </c>
      <c r="I30" s="1"/>
      <c r="J30" s="1">
        <f t="shared" si="7"/>
        <v>1.4230534661516568E-3</v>
      </c>
      <c r="K30" s="1">
        <f t="shared" si="8"/>
        <v>1.3068688670829698E-2</v>
      </c>
      <c r="L30" s="1">
        <f t="shared" si="9"/>
        <v>0.10154125113327292</v>
      </c>
      <c r="M30" s="1">
        <f t="shared" si="14"/>
        <v>3.268090684303044E-2</v>
      </c>
      <c r="N30" s="1">
        <f t="shared" si="11"/>
        <v>1.5879562796452876E-2</v>
      </c>
      <c r="O30" s="1">
        <f t="shared" si="12"/>
        <v>4.2215390262928462E-2</v>
      </c>
      <c r="P30" s="1">
        <f t="shared" si="15"/>
        <v>0.12084870848708482</v>
      </c>
      <c r="Q30" s="1">
        <f t="shared" si="13"/>
        <v>0.20245398773006137</v>
      </c>
      <c r="R30">
        <f t="shared" si="10"/>
        <v>8.1508718704256999</v>
      </c>
      <c r="S30">
        <f t="shared" si="0"/>
        <v>3.5398786760263183</v>
      </c>
      <c r="T30">
        <f t="shared" si="1"/>
        <v>3.3914644118391033</v>
      </c>
      <c r="U30">
        <f t="shared" si="2"/>
        <v>3.3562745009039086</v>
      </c>
      <c r="V30">
        <f t="shared" si="3"/>
        <v>2.0845762779343309</v>
      </c>
      <c r="W30">
        <f t="shared" si="4"/>
        <v>1.5932860670204574</v>
      </c>
    </row>
    <row r="31" spans="1:23">
      <c r="A31" t="s">
        <v>101</v>
      </c>
      <c r="B31">
        <v>3525</v>
      </c>
      <c r="C31">
        <v>2490.3000000000002</v>
      </c>
      <c r="D31">
        <v>2280.8000000000002</v>
      </c>
      <c r="E31">
        <v>129.69999999999999</v>
      </c>
      <c r="F31">
        <v>40</v>
      </c>
      <c r="G31" s="3">
        <f t="shared" si="5"/>
        <v>2.0408163265306048E-2</v>
      </c>
      <c r="H31" s="1">
        <f t="shared" si="6"/>
        <v>1.690514654973457E-2</v>
      </c>
      <c r="I31" s="1"/>
      <c r="J31" s="1">
        <f t="shared" si="7"/>
        <v>1.1084043848964751E-2</v>
      </c>
      <c r="K31" s="1">
        <f t="shared" si="8"/>
        <v>4.1826266895610437E-3</v>
      </c>
      <c r="L31" s="1">
        <f t="shared" si="9"/>
        <v>6.7489711934156288E-2</v>
      </c>
      <c r="M31" s="1">
        <f t="shared" si="14"/>
        <v>4.6242431437730082E-2</v>
      </c>
      <c r="N31" s="1">
        <f t="shared" si="11"/>
        <v>2.2752474434268383E-2</v>
      </c>
      <c r="O31" s="1">
        <f t="shared" si="12"/>
        <v>3.923087437918639E-2</v>
      </c>
      <c r="P31" s="1">
        <f t="shared" si="15"/>
        <v>0.18772893772893759</v>
      </c>
      <c r="Q31" s="1">
        <f t="shared" si="13"/>
        <v>0.14285714285714285</v>
      </c>
      <c r="R31">
        <f t="shared" si="10"/>
        <v>8.1676357152463694</v>
      </c>
      <c r="S31">
        <f t="shared" si="0"/>
        <v>3.5471591213274176</v>
      </c>
      <c r="T31">
        <f t="shared" si="1"/>
        <v>3.3962516685802768</v>
      </c>
      <c r="U31">
        <f t="shared" si="2"/>
        <v>3.3580872043014036</v>
      </c>
      <c r="V31">
        <f t="shared" si="3"/>
        <v>2.1129399760840801</v>
      </c>
      <c r="W31">
        <f t="shared" si="4"/>
        <v>1.6020599913279623</v>
      </c>
    </row>
    <row r="32" spans="1:23">
      <c r="A32" t="s">
        <v>102</v>
      </c>
      <c r="B32">
        <v>3574.4</v>
      </c>
      <c r="C32">
        <v>2541</v>
      </c>
      <c r="D32">
        <v>2302.6</v>
      </c>
      <c r="E32">
        <v>135.1</v>
      </c>
      <c r="F32">
        <v>41.4</v>
      </c>
      <c r="G32" s="3">
        <f t="shared" si="5"/>
        <v>3.4999999999999962E-2</v>
      </c>
      <c r="H32" s="1">
        <f t="shared" si="6"/>
        <v>1.4014184397163147E-2</v>
      </c>
      <c r="I32" s="1"/>
      <c r="J32" s="1">
        <f t="shared" si="7"/>
        <v>2.0358992892422524E-2</v>
      </c>
      <c r="K32" s="1">
        <f t="shared" si="8"/>
        <v>9.558049807085113E-3</v>
      </c>
      <c r="L32" s="1">
        <f t="shared" si="9"/>
        <v>4.1634541249036282E-2</v>
      </c>
      <c r="M32" s="1">
        <f t="shared" si="14"/>
        <v>5.7202011239278344E-2</v>
      </c>
      <c r="N32" s="1">
        <f t="shared" si="11"/>
        <v>3.9391336360289686E-2</v>
      </c>
      <c r="O32" s="1">
        <f t="shared" si="12"/>
        <v>4.0488025305015773E-2</v>
      </c>
      <c r="P32" s="1">
        <f t="shared" si="15"/>
        <v>0.22818181818181812</v>
      </c>
      <c r="Q32" s="1">
        <f t="shared" si="13"/>
        <v>0.13114754098360648</v>
      </c>
      <c r="R32">
        <f t="shared" si="10"/>
        <v>8.1815526088748811</v>
      </c>
      <c r="S32">
        <f t="shared" si="0"/>
        <v>3.5532031514355151</v>
      </c>
      <c r="T32">
        <f t="shared" si="1"/>
        <v>3.4050046650503694</v>
      </c>
      <c r="U32">
        <f t="shared" si="2"/>
        <v>3.3622185003260525</v>
      </c>
      <c r="V32">
        <f t="shared" si="3"/>
        <v>2.1306553490220304</v>
      </c>
      <c r="W32">
        <f t="shared" si="4"/>
        <v>1.6170003411208989</v>
      </c>
    </row>
    <row r="33" spans="1:23">
      <c r="A33" t="s">
        <v>103</v>
      </c>
      <c r="B33">
        <v>3567.2</v>
      </c>
      <c r="C33">
        <v>2556.1999999999998</v>
      </c>
      <c r="D33">
        <v>2331.6</v>
      </c>
      <c r="E33">
        <v>134.80000000000001</v>
      </c>
      <c r="F33">
        <v>42.4</v>
      </c>
      <c r="G33" s="3">
        <f t="shared" si="5"/>
        <v>2.4154589371980676E-2</v>
      </c>
      <c r="H33" s="1">
        <f t="shared" si="6"/>
        <v>-2.0143240823635501E-3</v>
      </c>
      <c r="I33" s="1"/>
      <c r="J33" s="1">
        <f t="shared" si="7"/>
        <v>5.9818968909877285E-3</v>
      </c>
      <c r="K33" s="1">
        <f t="shared" si="8"/>
        <v>1.2594458438287154E-2</v>
      </c>
      <c r="L33" s="1">
        <f t="shared" si="9"/>
        <v>-2.2205773501109026E-3</v>
      </c>
      <c r="M33" s="1">
        <f t="shared" si="14"/>
        <v>4.4170593917395903E-2</v>
      </c>
      <c r="N33" s="1">
        <f t="shared" si="11"/>
        <v>3.9316934336247132E-2</v>
      </c>
      <c r="O33" s="1">
        <f t="shared" si="12"/>
        <v>3.9964317573594962E-2</v>
      </c>
      <c r="P33" s="1">
        <f t="shared" si="15"/>
        <v>0.2221214868540346</v>
      </c>
      <c r="Q33" s="1">
        <f t="shared" si="13"/>
        <v>0.10704960835509143</v>
      </c>
      <c r="R33">
        <f t="shared" si="10"/>
        <v>8.1795362533132661</v>
      </c>
      <c r="S33">
        <f t="shared" si="0"/>
        <v>3.552327459341551</v>
      </c>
      <c r="T33">
        <f t="shared" si="1"/>
        <v>3.4075948305107455</v>
      </c>
      <c r="U33">
        <f t="shared" si="2"/>
        <v>3.3676540466474072</v>
      </c>
      <c r="V33">
        <f t="shared" si="3"/>
        <v>2.129689892199301</v>
      </c>
      <c r="W33">
        <f t="shared" si="4"/>
        <v>1.6273658565927327</v>
      </c>
    </row>
    <row r="34" spans="1:23">
      <c r="A34" t="s">
        <v>104</v>
      </c>
      <c r="B34">
        <v>3591.8</v>
      </c>
      <c r="C34">
        <v>2587.3000000000002</v>
      </c>
      <c r="D34">
        <v>2347.1</v>
      </c>
      <c r="E34">
        <v>137.5</v>
      </c>
      <c r="F34">
        <v>43.5</v>
      </c>
      <c r="G34" s="3">
        <f t="shared" si="5"/>
        <v>2.594339622641513E-2</v>
      </c>
      <c r="H34" s="1">
        <f t="shared" si="6"/>
        <v>6.8961650594304676E-3</v>
      </c>
      <c r="I34" s="1"/>
      <c r="J34" s="1">
        <f t="shared" si="7"/>
        <v>1.2166497144198563E-2</v>
      </c>
      <c r="K34" s="1">
        <f t="shared" si="8"/>
        <v>6.6477955052324589E-3</v>
      </c>
      <c r="L34" s="1">
        <f t="shared" si="9"/>
        <v>2.0029673590504365E-2</v>
      </c>
      <c r="M34" s="1">
        <f t="shared" si="14"/>
        <v>3.6175859681513989E-2</v>
      </c>
      <c r="N34" s="1">
        <f t="shared" si="11"/>
        <v>5.0466910272026058E-2</v>
      </c>
      <c r="O34" s="1">
        <f t="shared" si="12"/>
        <v>3.337295821776063E-2</v>
      </c>
      <c r="P34" s="1">
        <f t="shared" si="15"/>
        <v>0.13168724279835392</v>
      </c>
      <c r="Q34" s="1">
        <f t="shared" si="13"/>
        <v>0.10969387755102032</v>
      </c>
      <c r="R34">
        <f t="shared" si="10"/>
        <v>8.1864087485846362</v>
      </c>
      <c r="S34">
        <f t="shared" ref="S34:S66" si="16">LOG10(B34)</f>
        <v>3.5553121461148125</v>
      </c>
      <c r="T34">
        <f t="shared" ref="T34:T66" si="17">LOG10(C34)</f>
        <v>3.412846788511962</v>
      </c>
      <c r="U34">
        <f t="shared" ref="U34:U66" si="18">LOG10(D34)</f>
        <v>3.3705315934430771</v>
      </c>
      <c r="V34">
        <f t="shared" ref="V34:V66" si="19">LOG10(E34)</f>
        <v>2.1383026981662816</v>
      </c>
      <c r="W34">
        <f t="shared" ref="W34:W66" si="20">LOG10(F34)</f>
        <v>1.6384892569546374</v>
      </c>
    </row>
    <row r="35" spans="1:23">
      <c r="A35" t="s">
        <v>105</v>
      </c>
      <c r="B35">
        <v>3707</v>
      </c>
      <c r="C35">
        <v>2631.9</v>
      </c>
      <c r="D35">
        <v>2394</v>
      </c>
      <c r="E35">
        <v>154</v>
      </c>
      <c r="F35">
        <v>44.5</v>
      </c>
      <c r="G35" s="3">
        <f t="shared" ref="G35:G66" si="21">(F35-F34)/F34</f>
        <v>2.2988505747126436E-2</v>
      </c>
      <c r="H35" s="1">
        <f t="shared" ref="H35:H67" si="22">(B35-B34)/B34</f>
        <v>3.2073055292610897E-2</v>
      </c>
      <c r="I35" s="1"/>
      <c r="J35" s="1">
        <f t="shared" ref="J35:J67" si="23">(C35-C34)/C34</f>
        <v>1.7238047385305107E-2</v>
      </c>
      <c r="K35" s="1">
        <f t="shared" ref="K35:K67" si="24">(D35-D34)/D34</f>
        <v>1.9982105577095177E-2</v>
      </c>
      <c r="L35" s="1">
        <f t="shared" ref="L35:L67" si="25">(E35-E34)/E34</f>
        <v>0.12</v>
      </c>
      <c r="M35" s="1">
        <f t="shared" si="14"/>
        <v>5.1631205673758868E-2</v>
      </c>
      <c r="N35" s="1">
        <f t="shared" si="11"/>
        <v>5.686061920250568E-2</v>
      </c>
      <c r="O35" s="1">
        <f t="shared" si="12"/>
        <v>4.9631708172570947E-2</v>
      </c>
      <c r="P35" s="1">
        <f t="shared" si="15"/>
        <v>0.18735543562066317</v>
      </c>
      <c r="Q35" s="1">
        <f t="shared" si="13"/>
        <v>0.1125</v>
      </c>
      <c r="R35">
        <f t="shared" si="10"/>
        <v>8.2179782031507322</v>
      </c>
      <c r="S35">
        <f t="shared" si="16"/>
        <v>3.5690225860295635</v>
      </c>
      <c r="T35">
        <f t="shared" si="17"/>
        <v>3.4202693840782254</v>
      </c>
      <c r="U35">
        <f t="shared" si="18"/>
        <v>3.3791241460703918</v>
      </c>
      <c r="V35">
        <f t="shared" si="19"/>
        <v>2.1875207208364631</v>
      </c>
      <c r="W35">
        <f t="shared" si="20"/>
        <v>1.6483600109809315</v>
      </c>
    </row>
    <row r="36" spans="1:23">
      <c r="A36" t="s">
        <v>106</v>
      </c>
      <c r="B36">
        <v>3735.6</v>
      </c>
      <c r="C36">
        <v>2653.2</v>
      </c>
      <c r="D36">
        <v>2404.5</v>
      </c>
      <c r="E36">
        <v>158</v>
      </c>
      <c r="F36">
        <v>46.6</v>
      </c>
      <c r="G36" s="3">
        <f t="shared" si="21"/>
        <v>4.7191011235955087E-2</v>
      </c>
      <c r="H36" s="1">
        <f t="shared" si="22"/>
        <v>7.7151335311572457E-3</v>
      </c>
      <c r="I36" s="1"/>
      <c r="J36" s="1">
        <f t="shared" si="23"/>
        <v>8.0930126524562957E-3</v>
      </c>
      <c r="K36" s="1">
        <f t="shared" si="24"/>
        <v>4.3859649122807015E-3</v>
      </c>
      <c r="L36" s="1">
        <f t="shared" si="25"/>
        <v>2.5974025974025976E-2</v>
      </c>
      <c r="M36" s="1">
        <f t="shared" si="14"/>
        <v>4.509847806624883E-2</v>
      </c>
      <c r="N36" s="1">
        <f t="shared" si="11"/>
        <v>4.4155844155844087E-2</v>
      </c>
      <c r="O36" s="1">
        <f t="shared" si="12"/>
        <v>4.4254321202119383E-2</v>
      </c>
      <c r="P36" s="1">
        <f t="shared" si="15"/>
        <v>0.16950407105847526</v>
      </c>
      <c r="Q36" s="1">
        <f t="shared" si="13"/>
        <v>0.1256038647342996</v>
      </c>
      <c r="R36">
        <f t="shared" si="10"/>
        <v>8.2256637272355633</v>
      </c>
      <c r="S36">
        <f t="shared" si="16"/>
        <v>3.5723603667301402</v>
      </c>
      <c r="T36">
        <f t="shared" si="17"/>
        <v>3.4237699886263386</v>
      </c>
      <c r="U36">
        <f t="shared" si="18"/>
        <v>3.3810247814098262</v>
      </c>
      <c r="V36">
        <f t="shared" si="19"/>
        <v>2.1986570869544226</v>
      </c>
      <c r="W36">
        <f t="shared" si="20"/>
        <v>1.6683859166900001</v>
      </c>
    </row>
    <row r="37" spans="1:23">
      <c r="A37" t="s">
        <v>107</v>
      </c>
      <c r="B37">
        <v>3779.6</v>
      </c>
      <c r="C37">
        <v>2680.9</v>
      </c>
      <c r="D37">
        <v>2421.6</v>
      </c>
      <c r="E37">
        <v>167.8</v>
      </c>
      <c r="F37">
        <v>48.9</v>
      </c>
      <c r="G37" s="3">
        <f t="shared" si="21"/>
        <v>4.9356223175965601E-2</v>
      </c>
      <c r="H37" s="1">
        <f t="shared" si="22"/>
        <v>1.1778563015312132E-2</v>
      </c>
      <c r="I37" s="1"/>
      <c r="J37" s="1">
        <f t="shared" si="23"/>
        <v>1.0440223126790394E-2</v>
      </c>
      <c r="K37" s="1">
        <f t="shared" si="24"/>
        <v>7.1116656269494321E-3</v>
      </c>
      <c r="L37" s="1">
        <f t="shared" si="25"/>
        <v>6.2025316455696276E-2</v>
      </c>
      <c r="M37" s="1">
        <f t="shared" si="14"/>
        <v>5.9542498318008549E-2</v>
      </c>
      <c r="N37" s="1">
        <f t="shared" si="11"/>
        <v>4.8783350285580271E-2</v>
      </c>
      <c r="O37" s="1">
        <f t="shared" si="12"/>
        <v>3.8600102933607827E-2</v>
      </c>
      <c r="P37" s="1">
        <f t="shared" si="15"/>
        <v>0.24480712166172106</v>
      </c>
      <c r="Q37" s="1">
        <f t="shared" si="13"/>
        <v>0.15330188679245282</v>
      </c>
      <c r="R37">
        <f t="shared" si="10"/>
        <v>8.2373734629084705</v>
      </c>
      <c r="S37">
        <f t="shared" si="16"/>
        <v>3.5774458403174298</v>
      </c>
      <c r="T37">
        <f t="shared" si="17"/>
        <v>3.4282806147071767</v>
      </c>
      <c r="U37">
        <f t="shared" si="18"/>
        <v>3.3841024079485167</v>
      </c>
      <c r="V37">
        <f t="shared" si="19"/>
        <v>2.2247919564926817</v>
      </c>
      <c r="W37">
        <f t="shared" si="20"/>
        <v>1.6893088591236203</v>
      </c>
    </row>
    <row r="38" spans="1:23">
      <c r="A38" t="s">
        <v>108</v>
      </c>
      <c r="B38">
        <v>3780.8</v>
      </c>
      <c r="C38">
        <v>2699.2</v>
      </c>
      <c r="D38">
        <v>2437.9</v>
      </c>
      <c r="E38">
        <v>168.2</v>
      </c>
      <c r="F38">
        <v>50.5</v>
      </c>
      <c r="G38" s="3">
        <f t="shared" si="21"/>
        <v>3.2719836400818027E-2</v>
      </c>
      <c r="H38" s="1">
        <f t="shared" si="22"/>
        <v>3.1749391470004045E-4</v>
      </c>
      <c r="I38" s="1"/>
      <c r="J38" s="1">
        <f t="shared" si="23"/>
        <v>6.8260658734006219E-3</v>
      </c>
      <c r="K38" s="1">
        <f t="shared" si="24"/>
        <v>6.7310868847044033E-3</v>
      </c>
      <c r="L38" s="1">
        <f t="shared" si="25"/>
        <v>2.3837902264599357E-3</v>
      </c>
      <c r="M38" s="1">
        <f t="shared" ref="M38:M69" si="26">(B38-B34)/B34</f>
        <v>5.261985633943983E-2</v>
      </c>
      <c r="N38" s="1">
        <f t="shared" ref="N38:N69" si="27">(C38-C34)/C34</f>
        <v>4.3249719785104022E-2</v>
      </c>
      <c r="O38" s="1">
        <f t="shared" ref="O38:O69" si="28">(D38-D34)/D34</f>
        <v>3.8686038089557402E-2</v>
      </c>
      <c r="P38" s="1">
        <f t="shared" ref="P38:P69" si="29">(E38-E34)/E34</f>
        <v>0.22327272727272718</v>
      </c>
      <c r="Q38" s="1">
        <f t="shared" ref="Q38:Q69" si="30">(F38-F34)/F34</f>
        <v>0.16091954022988506</v>
      </c>
      <c r="R38">
        <f t="shared" si="10"/>
        <v>8.2376909064326433</v>
      </c>
      <c r="S38">
        <f t="shared" si="16"/>
        <v>3.5775837042882936</v>
      </c>
      <c r="T38">
        <f t="shared" si="17"/>
        <v>3.4312350652450498</v>
      </c>
      <c r="U38">
        <f t="shared" si="18"/>
        <v>3.3870158873615703</v>
      </c>
      <c r="V38">
        <f t="shared" si="19"/>
        <v>2.2258259914618934</v>
      </c>
      <c r="W38">
        <f t="shared" si="20"/>
        <v>1.7032913781186614</v>
      </c>
    </row>
    <row r="39" spans="1:23">
      <c r="A39" t="s">
        <v>109</v>
      </c>
      <c r="B39">
        <v>3784.3</v>
      </c>
      <c r="C39">
        <v>2697.6</v>
      </c>
      <c r="D39">
        <v>2435.4</v>
      </c>
      <c r="E39">
        <v>174.1</v>
      </c>
      <c r="F39">
        <v>51.8</v>
      </c>
      <c r="G39" s="3">
        <f t="shared" si="21"/>
        <v>2.5742574257425686E-2</v>
      </c>
      <c r="H39" s="1">
        <f t="shared" si="22"/>
        <v>9.2573000423190859E-4</v>
      </c>
      <c r="I39" s="1"/>
      <c r="J39" s="1">
        <f t="shared" si="23"/>
        <v>-5.9276822762296575E-4</v>
      </c>
      <c r="K39" s="1">
        <f t="shared" si="24"/>
        <v>-1.0254727429344927E-3</v>
      </c>
      <c r="L39" s="1">
        <f t="shared" si="25"/>
        <v>3.5077288941736062E-2</v>
      </c>
      <c r="M39" s="1">
        <f t="shared" si="26"/>
        <v>2.0852441327218824E-2</v>
      </c>
      <c r="N39" s="1">
        <f t="shared" si="27"/>
        <v>2.4962954519548546E-2</v>
      </c>
      <c r="O39" s="1">
        <f t="shared" si="28"/>
        <v>1.7293233082706805E-2</v>
      </c>
      <c r="P39" s="1">
        <f t="shared" si="29"/>
        <v>0.13051948051948048</v>
      </c>
      <c r="Q39" s="1">
        <f t="shared" si="30"/>
        <v>0.16404494382022466</v>
      </c>
      <c r="R39">
        <f t="shared" si="10"/>
        <v>8.2386162082131147</v>
      </c>
      <c r="S39">
        <f t="shared" si="16"/>
        <v>3.5779855577456474</v>
      </c>
      <c r="T39">
        <f t="shared" si="17"/>
        <v>3.4309775529446482</v>
      </c>
      <c r="U39">
        <f t="shared" si="18"/>
        <v>3.386570301700929</v>
      </c>
      <c r="V39">
        <f t="shared" si="19"/>
        <v>2.2407987711173312</v>
      </c>
      <c r="W39">
        <f t="shared" si="20"/>
        <v>1.7143297597452329</v>
      </c>
    </row>
    <row r="40" spans="1:23">
      <c r="A40" t="s">
        <v>110</v>
      </c>
      <c r="B40">
        <v>3807.5</v>
      </c>
      <c r="C40">
        <v>2715.3</v>
      </c>
      <c r="D40">
        <v>2454.6999999999998</v>
      </c>
      <c r="E40">
        <v>178.1</v>
      </c>
      <c r="F40">
        <v>52.7</v>
      </c>
      <c r="G40" s="3">
        <f t="shared" si="21"/>
        <v>1.7374517374517486E-2</v>
      </c>
      <c r="H40" s="1">
        <f t="shared" si="22"/>
        <v>6.1305921834949179E-3</v>
      </c>
      <c r="I40" s="1"/>
      <c r="J40" s="1">
        <f t="shared" si="23"/>
        <v>6.5613879003559731E-3</v>
      </c>
      <c r="K40" s="1">
        <f t="shared" si="24"/>
        <v>7.9247762174590314E-3</v>
      </c>
      <c r="L40" s="1">
        <f t="shared" si="25"/>
        <v>2.2975301550832855E-2</v>
      </c>
      <c r="M40" s="1">
        <f t="shared" si="26"/>
        <v>1.9247242745475984E-2</v>
      </c>
      <c r="N40" s="1">
        <f t="shared" si="27"/>
        <v>2.3405698778833247E-2</v>
      </c>
      <c r="O40" s="1">
        <f t="shared" si="28"/>
        <v>2.0877521314202462E-2</v>
      </c>
      <c r="P40" s="1">
        <f t="shared" si="29"/>
        <v>0.12721518987341768</v>
      </c>
      <c r="Q40" s="1">
        <f t="shared" si="30"/>
        <v>0.1309012875536481</v>
      </c>
      <c r="R40">
        <f t="shared" si="10"/>
        <v>8.2447280847693172</v>
      </c>
      <c r="S40">
        <f t="shared" si="16"/>
        <v>3.5806399120080803</v>
      </c>
      <c r="T40">
        <f t="shared" si="17"/>
        <v>3.4338178196143132</v>
      </c>
      <c r="U40">
        <f t="shared" si="18"/>
        <v>3.389998422607333</v>
      </c>
      <c r="V40">
        <f t="shared" si="19"/>
        <v>2.2506639194632436</v>
      </c>
      <c r="W40">
        <f t="shared" si="20"/>
        <v>1.7218106152125465</v>
      </c>
    </row>
    <row r="41" spans="1:23">
      <c r="A41" t="s">
        <v>111</v>
      </c>
      <c r="B41">
        <v>3814.6</v>
      </c>
      <c r="C41">
        <v>2728.1</v>
      </c>
      <c r="D41">
        <v>2465.4</v>
      </c>
      <c r="E41">
        <v>173.4</v>
      </c>
      <c r="F41">
        <v>54.5</v>
      </c>
      <c r="G41" s="3">
        <f t="shared" si="21"/>
        <v>3.4155597722960097E-2</v>
      </c>
      <c r="H41" s="1">
        <f t="shared" si="22"/>
        <v>1.864740643466818E-3</v>
      </c>
      <c r="I41" s="1"/>
      <c r="J41" s="1">
        <f t="shared" si="23"/>
        <v>4.7140279158839633E-3</v>
      </c>
      <c r="K41" s="1">
        <f t="shared" si="24"/>
        <v>4.3589848046605584E-3</v>
      </c>
      <c r="L41" s="1">
        <f t="shared" si="25"/>
        <v>-2.6389668725435085E-2</v>
      </c>
      <c r="M41" s="1">
        <f t="shared" si="26"/>
        <v>9.2602391787490745E-3</v>
      </c>
      <c r="N41" s="1">
        <f t="shared" si="27"/>
        <v>1.7606027826476116E-2</v>
      </c>
      <c r="O41" s="1">
        <f t="shared" si="28"/>
        <v>1.8087215064420292E-2</v>
      </c>
      <c r="P41" s="1">
        <f t="shared" si="29"/>
        <v>3.3373063170440968E-2</v>
      </c>
      <c r="Q41" s="1">
        <f t="shared" si="30"/>
        <v>0.11451942740286301</v>
      </c>
      <c r="R41">
        <f t="shared" si="10"/>
        <v>8.246591088942326</v>
      </c>
      <c r="S41">
        <f t="shared" si="16"/>
        <v>3.5814490044401808</v>
      </c>
      <c r="T41">
        <f t="shared" si="17"/>
        <v>3.4358602855783618</v>
      </c>
      <c r="U41">
        <f t="shared" si="18"/>
        <v>3.3918873916455148</v>
      </c>
      <c r="V41">
        <f t="shared" si="19"/>
        <v>2.2390490931401916</v>
      </c>
      <c r="W41">
        <f t="shared" si="20"/>
        <v>1.7363965022766426</v>
      </c>
    </row>
    <row r="42" spans="1:23">
      <c r="A42" t="s">
        <v>112</v>
      </c>
      <c r="B42">
        <v>3830.8</v>
      </c>
      <c r="C42">
        <v>2742.9</v>
      </c>
      <c r="D42">
        <v>2464.6</v>
      </c>
      <c r="E42">
        <v>174.3</v>
      </c>
      <c r="F42">
        <v>57.6</v>
      </c>
      <c r="G42" s="3">
        <f t="shared" si="21"/>
        <v>5.6880733944954152E-2</v>
      </c>
      <c r="H42" s="1">
        <f t="shared" si="22"/>
        <v>4.2468410842553019E-3</v>
      </c>
      <c r="I42" s="1"/>
      <c r="J42" s="1">
        <f t="shared" si="23"/>
        <v>5.4250210769400614E-3</v>
      </c>
      <c r="K42" s="1">
        <f t="shared" si="24"/>
        <v>-3.2449095481470829E-4</v>
      </c>
      <c r="L42" s="1">
        <f t="shared" si="25"/>
        <v>5.1903114186851538E-3</v>
      </c>
      <c r="M42" s="1">
        <f t="shared" si="26"/>
        <v>1.3224714346170122E-2</v>
      </c>
      <c r="N42" s="1">
        <f t="shared" si="27"/>
        <v>1.6189982216953273E-2</v>
      </c>
      <c r="O42" s="1">
        <f t="shared" si="28"/>
        <v>1.0952048894540309E-2</v>
      </c>
      <c r="P42" s="1">
        <f t="shared" si="29"/>
        <v>3.6266349583828912E-2</v>
      </c>
      <c r="Q42" s="1">
        <f t="shared" si="30"/>
        <v>0.14059405940594064</v>
      </c>
      <c r="R42">
        <f t="shared" si="10"/>
        <v>8.2508289376474639</v>
      </c>
      <c r="S42">
        <f t="shared" si="16"/>
        <v>3.5832894787479632</v>
      </c>
      <c r="T42">
        <f t="shared" si="17"/>
        <v>3.4382099744875587</v>
      </c>
      <c r="U42">
        <f t="shared" si="18"/>
        <v>3.3917464441450798</v>
      </c>
      <c r="V42">
        <f t="shared" si="19"/>
        <v>2.2412973871099933</v>
      </c>
      <c r="W42">
        <f t="shared" si="20"/>
        <v>1.7604224834232121</v>
      </c>
    </row>
    <row r="43" spans="1:23">
      <c r="A43" t="s">
        <v>113</v>
      </c>
      <c r="B43">
        <v>3732.6</v>
      </c>
      <c r="C43">
        <v>2692</v>
      </c>
      <c r="D43">
        <v>2414.1999999999998</v>
      </c>
      <c r="E43">
        <v>144.5</v>
      </c>
      <c r="F43">
        <v>58.7</v>
      </c>
      <c r="G43" s="3">
        <f t="shared" si="21"/>
        <v>1.9097222222222248E-2</v>
      </c>
      <c r="H43" s="1">
        <f t="shared" si="22"/>
        <v>-2.5634332254359474E-2</v>
      </c>
      <c r="I43" s="1"/>
      <c r="J43" s="1">
        <f t="shared" si="23"/>
        <v>-1.8557001713514924E-2</v>
      </c>
      <c r="K43" s="1">
        <f t="shared" si="24"/>
        <v>-2.0449565852471027E-2</v>
      </c>
      <c r="L43" s="1">
        <f t="shared" si="25"/>
        <v>-0.17096959265633971</v>
      </c>
      <c r="M43" s="1">
        <f t="shared" si="26"/>
        <v>-1.3661707581322905E-2</v>
      </c>
      <c r="N43" s="1">
        <f t="shared" si="27"/>
        <v>-2.075919335705779E-3</v>
      </c>
      <c r="O43" s="1">
        <f t="shared" si="28"/>
        <v>-8.7049355342039385E-3</v>
      </c>
      <c r="P43" s="1">
        <f t="shared" si="29"/>
        <v>-0.1700172314761631</v>
      </c>
      <c r="Q43" s="1">
        <f t="shared" si="30"/>
        <v>0.13320463320463333</v>
      </c>
      <c r="R43">
        <f t="shared" si="10"/>
        <v>8.2248603207490287</v>
      </c>
      <c r="S43">
        <f t="shared" si="16"/>
        <v>3.5720114517263131</v>
      </c>
      <c r="T43">
        <f t="shared" si="17"/>
        <v>3.430075055551939</v>
      </c>
      <c r="U43">
        <f t="shared" si="18"/>
        <v>3.3827732455867023</v>
      </c>
      <c r="V43">
        <f t="shared" si="19"/>
        <v>2.1598678470925665</v>
      </c>
      <c r="W43">
        <f t="shared" si="20"/>
        <v>1.7686381012476144</v>
      </c>
    </row>
    <row r="44" spans="1:23">
      <c r="A44" t="s">
        <v>114</v>
      </c>
      <c r="B44">
        <v>3733.5</v>
      </c>
      <c r="C44">
        <v>2722.5</v>
      </c>
      <c r="D44">
        <v>2440.3000000000002</v>
      </c>
      <c r="E44">
        <v>151</v>
      </c>
      <c r="F44">
        <v>59.3</v>
      </c>
      <c r="G44" s="3">
        <f t="shared" si="21"/>
        <v>1.022146507666089E-2</v>
      </c>
      <c r="H44" s="1">
        <f t="shared" si="22"/>
        <v>2.4111879119115119E-4</v>
      </c>
      <c r="I44" s="1"/>
      <c r="J44" s="1">
        <f t="shared" si="23"/>
        <v>1.1329866270430906E-2</v>
      </c>
      <c r="K44" s="1">
        <f t="shared" si="24"/>
        <v>1.0811034711291677E-2</v>
      </c>
      <c r="L44" s="1">
        <f t="shared" si="25"/>
        <v>4.4982698961937718E-2</v>
      </c>
      <c r="M44" s="1">
        <f t="shared" si="26"/>
        <v>-1.943532501641497E-2</v>
      </c>
      <c r="N44" s="1">
        <f t="shared" si="27"/>
        <v>2.6516407026847193E-3</v>
      </c>
      <c r="O44" s="1">
        <f t="shared" si="28"/>
        <v>-5.8662973072064351E-3</v>
      </c>
      <c r="P44" s="1">
        <f t="shared" si="29"/>
        <v>-0.15216170690623243</v>
      </c>
      <c r="Q44" s="1">
        <f t="shared" si="30"/>
        <v>0.12523719165085379</v>
      </c>
      <c r="R44">
        <f t="shared" si="10"/>
        <v>8.2251014104757569</v>
      </c>
      <c r="S44">
        <f t="shared" si="16"/>
        <v>3.5721161556642747</v>
      </c>
      <c r="T44">
        <f t="shared" si="17"/>
        <v>3.4349678884278125</v>
      </c>
      <c r="U44">
        <f t="shared" si="18"/>
        <v>3.3874432199189335</v>
      </c>
      <c r="V44">
        <f t="shared" si="19"/>
        <v>2.1789769472931693</v>
      </c>
      <c r="W44">
        <f t="shared" si="20"/>
        <v>1.7730546933642626</v>
      </c>
    </row>
    <row r="45" spans="1:23">
      <c r="A45" t="s">
        <v>115</v>
      </c>
      <c r="B45">
        <v>3808.5</v>
      </c>
      <c r="C45">
        <v>2777</v>
      </c>
      <c r="D45">
        <v>2469.1999999999998</v>
      </c>
      <c r="E45">
        <v>154.6</v>
      </c>
      <c r="F45">
        <v>60.5</v>
      </c>
      <c r="G45" s="3">
        <f t="shared" si="21"/>
        <v>2.023608768971337E-2</v>
      </c>
      <c r="H45" s="1">
        <f t="shared" si="22"/>
        <v>2.0088388911209322E-2</v>
      </c>
      <c r="I45" s="1"/>
      <c r="J45" s="1">
        <f t="shared" si="23"/>
        <v>2.0018365472910929E-2</v>
      </c>
      <c r="K45" s="1">
        <f t="shared" si="24"/>
        <v>1.1842806212350791E-2</v>
      </c>
      <c r="L45" s="1">
        <f t="shared" si="25"/>
        <v>2.384105960264897E-2</v>
      </c>
      <c r="M45" s="1">
        <f t="shared" si="26"/>
        <v>-1.5991191737010195E-3</v>
      </c>
      <c r="N45" s="1">
        <f t="shared" si="27"/>
        <v>1.7924562882592313E-2</v>
      </c>
      <c r="O45" s="1">
        <f t="shared" si="28"/>
        <v>1.5413320353694034E-3</v>
      </c>
      <c r="P45" s="1">
        <f t="shared" si="29"/>
        <v>-0.10841983852364481</v>
      </c>
      <c r="Q45" s="1">
        <f t="shared" si="30"/>
        <v>0.11009174311926606</v>
      </c>
      <c r="R45">
        <f t="shared" si="10"/>
        <v>8.2449906898128429</v>
      </c>
      <c r="S45">
        <f t="shared" si="16"/>
        <v>3.5807539599294036</v>
      </c>
      <c r="T45">
        <f t="shared" si="17"/>
        <v>3.4435758797502576</v>
      </c>
      <c r="U45">
        <f t="shared" si="18"/>
        <v>3.3925562682950718</v>
      </c>
      <c r="V45">
        <f t="shared" si="19"/>
        <v>2.1892094895823062</v>
      </c>
      <c r="W45">
        <f t="shared" si="20"/>
        <v>1.7817553746524688</v>
      </c>
    </row>
    <row r="46" spans="1:23">
      <c r="A46" t="s">
        <v>116</v>
      </c>
      <c r="B46">
        <v>3860.5</v>
      </c>
      <c r="C46">
        <v>2783.7</v>
      </c>
      <c r="D46">
        <v>2475.5</v>
      </c>
      <c r="E46">
        <v>159.5</v>
      </c>
      <c r="F46">
        <v>64</v>
      </c>
      <c r="G46" s="3">
        <f t="shared" si="21"/>
        <v>5.7851239669421489E-2</v>
      </c>
      <c r="H46" s="1">
        <f t="shared" si="22"/>
        <v>1.3653669423657607E-2</v>
      </c>
      <c r="I46" s="1"/>
      <c r="J46" s="1">
        <f t="shared" si="23"/>
        <v>2.4126755491536978E-3</v>
      </c>
      <c r="K46" s="1">
        <f t="shared" si="24"/>
        <v>2.551433662724843E-3</v>
      </c>
      <c r="L46" s="1">
        <f t="shared" si="25"/>
        <v>3.1694695989650752E-2</v>
      </c>
      <c r="M46" s="1">
        <f t="shared" si="26"/>
        <v>7.7529497755037631E-3</v>
      </c>
      <c r="N46" s="1">
        <f t="shared" si="27"/>
        <v>1.4874767581756435E-2</v>
      </c>
      <c r="O46" s="1">
        <f t="shared" si="28"/>
        <v>4.4226243609511041E-3</v>
      </c>
      <c r="P46" s="1">
        <f t="shared" si="29"/>
        <v>-8.4911072862880146E-2</v>
      </c>
      <c r="Q46" s="1">
        <f t="shared" si="30"/>
        <v>0.11111111111111108</v>
      </c>
      <c r="R46">
        <f t="shared" si="10"/>
        <v>8.25855198774887</v>
      </c>
      <c r="S46">
        <f t="shared" si="16"/>
        <v>3.5866435567904662</v>
      </c>
      <c r="T46">
        <f t="shared" si="17"/>
        <v>3.4446224294425036</v>
      </c>
      <c r="U46">
        <f t="shared" si="18"/>
        <v>3.393662930667503</v>
      </c>
      <c r="V46">
        <f t="shared" si="19"/>
        <v>2.2027606873931997</v>
      </c>
      <c r="W46">
        <f t="shared" si="20"/>
        <v>1.8061799739838871</v>
      </c>
    </row>
    <row r="47" spans="1:23">
      <c r="A47" t="s">
        <v>117</v>
      </c>
      <c r="B47">
        <v>3844.4</v>
      </c>
      <c r="C47">
        <v>2776.7</v>
      </c>
      <c r="D47">
        <v>2476.1</v>
      </c>
      <c r="E47">
        <v>143.69999999999999</v>
      </c>
      <c r="F47">
        <v>68.400000000000006</v>
      </c>
      <c r="G47" s="3">
        <f t="shared" si="21"/>
        <v>6.8750000000000089E-2</v>
      </c>
      <c r="H47" s="1">
        <f t="shared" si="22"/>
        <v>-4.1704442429736843E-3</v>
      </c>
      <c r="I47" s="1"/>
      <c r="J47" s="1">
        <f t="shared" si="23"/>
        <v>-2.514638790099508E-3</v>
      </c>
      <c r="K47" s="1">
        <f t="shared" si="24"/>
        <v>2.4237527772163564E-4</v>
      </c>
      <c r="L47" s="1">
        <f t="shared" si="25"/>
        <v>-9.9059561128526721E-2</v>
      </c>
      <c r="M47" s="1">
        <f t="shared" si="26"/>
        <v>2.9952312061297805E-2</v>
      </c>
      <c r="N47" s="1">
        <f t="shared" si="27"/>
        <v>3.1463595839524447E-2</v>
      </c>
      <c r="O47" s="1">
        <f t="shared" si="28"/>
        <v>2.563996354900178E-2</v>
      </c>
      <c r="P47" s="1">
        <f t="shared" si="29"/>
        <v>-5.5363321799308746E-3</v>
      </c>
      <c r="Q47" s="1">
        <f t="shared" si="30"/>
        <v>0.16524701873935269</v>
      </c>
      <c r="R47">
        <f t="shared" si="10"/>
        <v>8.2543728229491293</v>
      </c>
      <c r="S47">
        <f t="shared" si="16"/>
        <v>3.5848285685789745</v>
      </c>
      <c r="T47">
        <f t="shared" si="17"/>
        <v>3.4435289602750618</v>
      </c>
      <c r="U47">
        <f t="shared" si="18"/>
        <v>3.3937681801587449</v>
      </c>
      <c r="V47">
        <f t="shared" si="19"/>
        <v>2.1574567681342258</v>
      </c>
      <c r="W47">
        <f t="shared" si="20"/>
        <v>1.8350561017201164</v>
      </c>
    </row>
    <row r="48" spans="1:23">
      <c r="A48" t="s">
        <v>118</v>
      </c>
      <c r="B48">
        <v>3864.5</v>
      </c>
      <c r="C48">
        <v>2814.1</v>
      </c>
      <c r="D48">
        <v>2487.4</v>
      </c>
      <c r="E48">
        <v>147.6</v>
      </c>
      <c r="F48">
        <v>71.900000000000006</v>
      </c>
      <c r="G48" s="3">
        <f t="shared" si="21"/>
        <v>5.1169590643274851E-2</v>
      </c>
      <c r="H48" s="1">
        <f t="shared" si="22"/>
        <v>5.2283841431692612E-3</v>
      </c>
      <c r="I48" s="1"/>
      <c r="J48" s="1">
        <f t="shared" si="23"/>
        <v>1.3469226059711202E-2</v>
      </c>
      <c r="K48" s="1">
        <f t="shared" si="24"/>
        <v>4.5636282864182313E-3</v>
      </c>
      <c r="L48" s="1">
        <f t="shared" si="25"/>
        <v>2.7139874739039709E-2</v>
      </c>
      <c r="M48" s="1">
        <f t="shared" si="26"/>
        <v>3.5087719298245612E-2</v>
      </c>
      <c r="N48" s="1">
        <f t="shared" si="27"/>
        <v>3.3645546372819066E-2</v>
      </c>
      <c r="O48" s="1">
        <f t="shared" si="28"/>
        <v>1.9300905626357376E-2</v>
      </c>
      <c r="P48" s="1">
        <f t="shared" si="29"/>
        <v>-2.2516556291390766E-2</v>
      </c>
      <c r="Q48" s="1">
        <f t="shared" si="30"/>
        <v>0.21247892074199004</v>
      </c>
      <c r="R48">
        <f t="shared" si="10"/>
        <v>8.2595875865469264</v>
      </c>
      <c r="S48">
        <f t="shared" si="16"/>
        <v>3.5870933116339274</v>
      </c>
      <c r="T48">
        <f t="shared" si="17"/>
        <v>3.4493395261749673</v>
      </c>
      <c r="U48">
        <f t="shared" si="18"/>
        <v>3.395745629992168</v>
      </c>
      <c r="V48">
        <f t="shared" si="19"/>
        <v>2.1690863574870227</v>
      </c>
      <c r="W48">
        <f t="shared" si="20"/>
        <v>1.8567288903828827</v>
      </c>
    </row>
    <row r="49" spans="1:23">
      <c r="A49" t="s">
        <v>119</v>
      </c>
      <c r="B49">
        <v>3803.1</v>
      </c>
      <c r="C49">
        <v>2808.8</v>
      </c>
      <c r="D49">
        <v>2468.6</v>
      </c>
      <c r="E49">
        <v>140.30000000000001</v>
      </c>
      <c r="F49">
        <v>72.400000000000006</v>
      </c>
      <c r="G49" s="3">
        <f t="shared" si="21"/>
        <v>6.9541029207232262E-3</v>
      </c>
      <c r="H49" s="1">
        <f t="shared" si="22"/>
        <v>-1.5888213222926665E-2</v>
      </c>
      <c r="I49" s="1"/>
      <c r="J49" s="1">
        <f t="shared" si="23"/>
        <v>-1.8833730144627865E-3</v>
      </c>
      <c r="K49" s="1">
        <f t="shared" si="24"/>
        <v>-7.5580927876498279E-3</v>
      </c>
      <c r="L49" s="1">
        <f t="shared" si="25"/>
        <v>-4.9457994579945687E-2</v>
      </c>
      <c r="M49" s="1">
        <f t="shared" si="26"/>
        <v>-1.4178810555336985E-3</v>
      </c>
      <c r="N49" s="1">
        <f t="shared" si="27"/>
        <v>1.1451206337774642E-2</v>
      </c>
      <c r="O49" s="1">
        <f t="shared" si="28"/>
        <v>-2.429936821642269E-4</v>
      </c>
      <c r="P49" s="1">
        <f t="shared" si="29"/>
        <v>-9.2496765847347895E-2</v>
      </c>
      <c r="Q49" s="1">
        <f t="shared" si="30"/>
        <v>0.19669421487603314</v>
      </c>
      <c r="R49">
        <f t="shared" si="10"/>
        <v>8.2435718026127915</v>
      </c>
      <c r="S49">
        <f t="shared" si="16"/>
        <v>3.5801377450479777</v>
      </c>
      <c r="T49">
        <f t="shared" si="17"/>
        <v>3.4485208164572949</v>
      </c>
      <c r="U49">
        <f t="shared" si="18"/>
        <v>3.3924507246560327</v>
      </c>
      <c r="V49">
        <f t="shared" si="19"/>
        <v>2.1470576710283598</v>
      </c>
      <c r="W49">
        <f t="shared" si="20"/>
        <v>1.8597385661971468</v>
      </c>
    </row>
    <row r="50" spans="1:23">
      <c r="A50" t="s">
        <v>120</v>
      </c>
      <c r="B50">
        <v>3756.1</v>
      </c>
      <c r="C50">
        <v>2795</v>
      </c>
      <c r="D50">
        <v>2484</v>
      </c>
      <c r="E50">
        <v>114.4</v>
      </c>
      <c r="F50">
        <v>70</v>
      </c>
      <c r="G50" s="3">
        <f t="shared" si="21"/>
        <v>-3.3149171270718307E-2</v>
      </c>
      <c r="H50" s="1">
        <f t="shared" si="22"/>
        <v>-1.235833924955957E-2</v>
      </c>
      <c r="I50" s="1"/>
      <c r="J50" s="1">
        <f t="shared" si="23"/>
        <v>-4.9131301623469743E-3</v>
      </c>
      <c r="K50" s="1">
        <f t="shared" si="24"/>
        <v>6.2383537227578756E-3</v>
      </c>
      <c r="L50" s="1">
        <f t="shared" si="25"/>
        <v>-0.18460441910192446</v>
      </c>
      <c r="M50" s="1">
        <f t="shared" si="26"/>
        <v>-2.7043129128351273E-2</v>
      </c>
      <c r="N50" s="1">
        <f t="shared" si="27"/>
        <v>4.0593454754464138E-3</v>
      </c>
      <c r="O50" s="1">
        <f t="shared" si="28"/>
        <v>3.4336497677236923E-3</v>
      </c>
      <c r="P50" s="1">
        <f t="shared" si="29"/>
        <v>-0.28275862068965513</v>
      </c>
      <c r="Q50" s="1">
        <f t="shared" si="30"/>
        <v>9.375E-2</v>
      </c>
      <c r="R50">
        <f t="shared" si="10"/>
        <v>8.2311364640418976</v>
      </c>
      <c r="S50">
        <f t="shared" si="16"/>
        <v>3.57473714612604</v>
      </c>
      <c r="T50">
        <f t="shared" si="17"/>
        <v>3.4463818122224419</v>
      </c>
      <c r="U50">
        <f t="shared" si="18"/>
        <v>3.3951515915045425</v>
      </c>
      <c r="V50">
        <f t="shared" si="19"/>
        <v>2.0584260244570056</v>
      </c>
      <c r="W50">
        <f t="shared" si="20"/>
        <v>1.8450980400142569</v>
      </c>
    </row>
    <row r="51" spans="1:23">
      <c r="A51" t="s">
        <v>121</v>
      </c>
      <c r="B51">
        <v>3771.1</v>
      </c>
      <c r="C51">
        <v>2824.8</v>
      </c>
      <c r="D51">
        <v>2488.9</v>
      </c>
      <c r="E51">
        <v>114</v>
      </c>
      <c r="F51">
        <v>68.400000000000006</v>
      </c>
      <c r="G51" s="3">
        <f t="shared" si="21"/>
        <v>-2.2857142857142777E-2</v>
      </c>
      <c r="H51" s="1">
        <f t="shared" si="22"/>
        <v>3.993503900322143E-3</v>
      </c>
      <c r="I51" s="1"/>
      <c r="J51" s="1">
        <f t="shared" si="23"/>
        <v>1.0661896243291656E-2</v>
      </c>
      <c r="K51" s="1">
        <f t="shared" si="24"/>
        <v>1.9726247987117917E-3</v>
      </c>
      <c r="L51" s="1">
        <f t="shared" si="25"/>
        <v>-3.4965034965035459E-3</v>
      </c>
      <c r="M51" s="1">
        <f t="shared" si="26"/>
        <v>-1.9066694412652217E-2</v>
      </c>
      <c r="N51" s="1">
        <f t="shared" si="27"/>
        <v>1.7322721215831876E-2</v>
      </c>
      <c r="O51" s="1">
        <f t="shared" si="28"/>
        <v>5.1694196518719693E-3</v>
      </c>
      <c r="P51" s="1">
        <f t="shared" si="29"/>
        <v>-0.20668058455114816</v>
      </c>
      <c r="Q51" s="1">
        <f t="shared" si="30"/>
        <v>0</v>
      </c>
      <c r="R51">
        <f t="shared" si="10"/>
        <v>8.2351220150716991</v>
      </c>
      <c r="S51">
        <f t="shared" si="16"/>
        <v>3.5764680489456269</v>
      </c>
      <c r="T51">
        <f t="shared" si="17"/>
        <v>3.4509877045550406</v>
      </c>
      <c r="U51">
        <f t="shared" si="18"/>
        <v>3.3960074477051614</v>
      </c>
      <c r="V51">
        <f t="shared" si="19"/>
        <v>2.0569048513364727</v>
      </c>
      <c r="W51">
        <f t="shared" si="20"/>
        <v>1.8350561017201164</v>
      </c>
    </row>
    <row r="52" spans="1:23">
      <c r="A52" t="s">
        <v>122</v>
      </c>
      <c r="B52">
        <v>3754.4</v>
      </c>
      <c r="C52">
        <v>2829</v>
      </c>
      <c r="D52">
        <v>2502.5</v>
      </c>
      <c r="E52">
        <v>114.6</v>
      </c>
      <c r="F52">
        <v>69.2</v>
      </c>
      <c r="G52" s="3">
        <f t="shared" si="21"/>
        <v>1.1695906432748496E-2</v>
      </c>
      <c r="H52" s="1">
        <f t="shared" si="22"/>
        <v>-4.4284161120097107E-3</v>
      </c>
      <c r="I52" s="1"/>
      <c r="J52" s="1">
        <f t="shared" si="23"/>
        <v>1.4868309260831979E-3</v>
      </c>
      <c r="K52" s="1">
        <f t="shared" si="24"/>
        <v>5.4642613202619261E-3</v>
      </c>
      <c r="L52" s="1">
        <f t="shared" si="25"/>
        <v>5.2631578947367925E-3</v>
      </c>
      <c r="M52" s="1">
        <f t="shared" si="26"/>
        <v>-2.8490102212446605E-2</v>
      </c>
      <c r="N52" s="1">
        <f t="shared" si="27"/>
        <v>5.2947656444334214E-3</v>
      </c>
      <c r="O52" s="1">
        <f t="shared" si="28"/>
        <v>6.0705958028463092E-3</v>
      </c>
      <c r="P52" s="1">
        <f t="shared" si="29"/>
        <v>-0.22357723577235772</v>
      </c>
      <c r="Q52" s="1">
        <f t="shared" si="30"/>
        <v>-3.755215577190546E-2</v>
      </c>
      <c r="R52">
        <f t="shared" si="10"/>
        <v>8.230683764480208</v>
      </c>
      <c r="S52">
        <f t="shared" si="16"/>
        <v>3.5745405412044384</v>
      </c>
      <c r="T52">
        <f t="shared" si="17"/>
        <v>3.4516329474569907</v>
      </c>
      <c r="U52">
        <f t="shared" si="18"/>
        <v>3.3983740861513563</v>
      </c>
      <c r="V52">
        <f t="shared" si="19"/>
        <v>2.0591846176313711</v>
      </c>
      <c r="W52">
        <f t="shared" si="20"/>
        <v>1.8401060944567578</v>
      </c>
    </row>
    <row r="53" spans="1:23">
      <c r="A53" t="s">
        <v>123</v>
      </c>
      <c r="B53">
        <v>3759.6</v>
      </c>
      <c r="C53">
        <v>2832.6</v>
      </c>
      <c r="D53">
        <v>2539.3000000000002</v>
      </c>
      <c r="E53">
        <v>109.9</v>
      </c>
      <c r="F53">
        <v>72.5</v>
      </c>
      <c r="G53" s="3">
        <f t="shared" si="21"/>
        <v>4.7687861271676256E-2</v>
      </c>
      <c r="H53" s="1">
        <f t="shared" si="22"/>
        <v>1.3850415512464888E-3</v>
      </c>
      <c r="I53" s="1"/>
      <c r="J53" s="1">
        <f t="shared" si="23"/>
        <v>1.2725344644750475E-3</v>
      </c>
      <c r="K53" s="1">
        <f t="shared" si="24"/>
        <v>1.4705294705294778E-2</v>
      </c>
      <c r="L53" s="1">
        <f t="shared" si="25"/>
        <v>-4.1012216404886462E-2</v>
      </c>
      <c r="M53" s="1">
        <f t="shared" si="26"/>
        <v>-1.1438037390549815E-2</v>
      </c>
      <c r="N53" s="1">
        <f t="shared" si="27"/>
        <v>8.4733694104242828E-3</v>
      </c>
      <c r="O53" s="1">
        <f t="shared" si="28"/>
        <v>2.8639714818115641E-2</v>
      </c>
      <c r="P53" s="1">
        <f t="shared" si="29"/>
        <v>-0.21667854597291519</v>
      </c>
      <c r="Q53" s="1">
        <f t="shared" si="30"/>
        <v>1.3812154696131811E-3</v>
      </c>
      <c r="R53">
        <f t="shared" si="10"/>
        <v>8.232067847746146</v>
      </c>
      <c r="S53">
        <f t="shared" si="16"/>
        <v>3.57514164092933</v>
      </c>
      <c r="T53">
        <f t="shared" si="17"/>
        <v>3.4521852508148987</v>
      </c>
      <c r="U53">
        <f t="shared" si="18"/>
        <v>3.4047140126688986</v>
      </c>
      <c r="V53">
        <f t="shared" si="19"/>
        <v>2.0409976924234905</v>
      </c>
      <c r="W53">
        <f t="shared" si="20"/>
        <v>1.8603380065709938</v>
      </c>
    </row>
    <row r="54" spans="1:23">
      <c r="A54" t="s">
        <v>124</v>
      </c>
      <c r="B54">
        <v>3783.5</v>
      </c>
      <c r="C54">
        <v>2843.6</v>
      </c>
      <c r="D54">
        <v>2556.5</v>
      </c>
      <c r="E54">
        <v>113.6</v>
      </c>
      <c r="F54">
        <v>77</v>
      </c>
      <c r="G54" s="3">
        <f t="shared" si="21"/>
        <v>6.2068965517241378E-2</v>
      </c>
      <c r="H54" s="1">
        <f t="shared" si="22"/>
        <v>6.3570592616236012E-3</v>
      </c>
      <c r="I54" s="1"/>
      <c r="J54" s="1">
        <f t="shared" si="23"/>
        <v>3.8833580456118055E-3</v>
      </c>
      <c r="K54" s="1">
        <f t="shared" si="24"/>
        <v>6.7735202614893145E-3</v>
      </c>
      <c r="L54" s="1">
        <f t="shared" si="25"/>
        <v>3.3666969972702354E-2</v>
      </c>
      <c r="M54" s="1">
        <f t="shared" si="26"/>
        <v>7.2948004579218052E-3</v>
      </c>
      <c r="N54" s="1">
        <f t="shared" si="27"/>
        <v>1.7388193202146657E-2</v>
      </c>
      <c r="O54" s="1">
        <f t="shared" si="28"/>
        <v>2.9186795491143318E-2</v>
      </c>
      <c r="P54" s="1">
        <f t="shared" si="29"/>
        <v>-6.9930069930070919E-3</v>
      </c>
      <c r="Q54" s="1">
        <f t="shared" si="30"/>
        <v>0.1</v>
      </c>
      <c r="R54">
        <f t="shared" si="10"/>
        <v>8.2384047861345771</v>
      </c>
      <c r="S54">
        <f t="shared" si="16"/>
        <v>3.5778937383035858</v>
      </c>
      <c r="T54">
        <f t="shared" si="17"/>
        <v>3.4538685055562</v>
      </c>
      <c r="U54">
        <f t="shared" si="18"/>
        <v>3.407645797062556</v>
      </c>
      <c r="V54">
        <f t="shared" si="19"/>
        <v>2.055378331375</v>
      </c>
      <c r="W54">
        <f t="shared" si="20"/>
        <v>1.8864907251724818</v>
      </c>
    </row>
    <row r="55" spans="1:23">
      <c r="A55" t="s">
        <v>125</v>
      </c>
      <c r="B55">
        <v>3886.5</v>
      </c>
      <c r="C55">
        <v>2867</v>
      </c>
      <c r="D55">
        <v>2604</v>
      </c>
      <c r="E55">
        <v>133</v>
      </c>
      <c r="F55">
        <v>80.5</v>
      </c>
      <c r="G55" s="3">
        <f t="shared" si="21"/>
        <v>4.5454545454545456E-2</v>
      </c>
      <c r="H55" s="1">
        <f t="shared" si="22"/>
        <v>2.7223470331703449E-2</v>
      </c>
      <c r="I55" s="1"/>
      <c r="J55" s="1">
        <f t="shared" si="23"/>
        <v>8.2290054860036897E-3</v>
      </c>
      <c r="K55" s="1">
        <f t="shared" si="24"/>
        <v>1.858008996675142E-2</v>
      </c>
      <c r="L55" s="1">
        <f t="shared" si="25"/>
        <v>0.17077464788732399</v>
      </c>
      <c r="M55" s="1">
        <f t="shared" si="26"/>
        <v>3.0601150857839911E-2</v>
      </c>
      <c r="N55" s="1">
        <f t="shared" si="27"/>
        <v>1.4939110733503191E-2</v>
      </c>
      <c r="O55" s="1">
        <f t="shared" si="28"/>
        <v>4.6245329261922902E-2</v>
      </c>
      <c r="P55" s="1">
        <f t="shared" si="29"/>
        <v>0.16666666666666666</v>
      </c>
      <c r="Q55" s="1">
        <f t="shared" si="30"/>
        <v>0.17690058479532153</v>
      </c>
      <c r="R55">
        <f t="shared" si="10"/>
        <v>8.2652642886702736</v>
      </c>
      <c r="S55">
        <f t="shared" si="16"/>
        <v>3.5895586720415062</v>
      </c>
      <c r="T55">
        <f t="shared" si="17"/>
        <v>3.4574276929464847</v>
      </c>
      <c r="U55">
        <f t="shared" si="18"/>
        <v>3.4156409798961542</v>
      </c>
      <c r="V55">
        <f t="shared" si="19"/>
        <v>2.1238516409670858</v>
      </c>
      <c r="W55">
        <f t="shared" si="20"/>
        <v>1.9057958803678685</v>
      </c>
    </row>
    <row r="56" spans="1:23">
      <c r="A56" t="s">
        <v>126</v>
      </c>
      <c r="B56">
        <v>3944.4</v>
      </c>
      <c r="C56">
        <v>2903</v>
      </c>
      <c r="D56">
        <v>2639</v>
      </c>
      <c r="E56">
        <v>145.69999999999999</v>
      </c>
      <c r="F56">
        <v>83.1</v>
      </c>
      <c r="G56" s="3">
        <f t="shared" si="21"/>
        <v>3.2298136645962663E-2</v>
      </c>
      <c r="H56" s="1">
        <f t="shared" si="22"/>
        <v>1.4897722886916272E-2</v>
      </c>
      <c r="I56" s="1"/>
      <c r="J56" s="1">
        <f t="shared" si="23"/>
        <v>1.2556679455877224E-2</v>
      </c>
      <c r="K56" s="1">
        <f t="shared" si="24"/>
        <v>1.3440860215053764E-2</v>
      </c>
      <c r="L56" s="1">
        <f t="shared" si="25"/>
        <v>9.5488721804511192E-2</v>
      </c>
      <c r="M56" s="1">
        <f t="shared" si="26"/>
        <v>5.0607287449392711E-2</v>
      </c>
      <c r="N56" s="1">
        <f t="shared" si="27"/>
        <v>2.6157652880876636E-2</v>
      </c>
      <c r="O56" s="1">
        <f t="shared" si="28"/>
        <v>5.4545454545454543E-2</v>
      </c>
      <c r="P56" s="1">
        <f t="shared" si="29"/>
        <v>0.27137870855148338</v>
      </c>
      <c r="Q56" s="1">
        <f t="shared" si="30"/>
        <v>0.20086705202312125</v>
      </c>
      <c r="R56">
        <f t="shared" si="10"/>
        <v>8.2800521304581736</v>
      </c>
      <c r="S56">
        <f t="shared" si="16"/>
        <v>3.595980950129249</v>
      </c>
      <c r="T56">
        <f t="shared" si="17"/>
        <v>3.4628470358316736</v>
      </c>
      <c r="U56">
        <f t="shared" si="18"/>
        <v>3.4214393902200495</v>
      </c>
      <c r="V56">
        <f t="shared" si="19"/>
        <v>2.1634595517699902</v>
      </c>
      <c r="W56">
        <f t="shared" si="20"/>
        <v>1.919601023784111</v>
      </c>
    </row>
    <row r="57" spans="1:23">
      <c r="A57" t="s">
        <v>127</v>
      </c>
      <c r="B57">
        <v>4012.1</v>
      </c>
      <c r="C57">
        <v>2960.6</v>
      </c>
      <c r="D57">
        <v>2678.2</v>
      </c>
      <c r="E57">
        <v>141.6</v>
      </c>
      <c r="F57">
        <v>84.2</v>
      </c>
      <c r="G57" s="3">
        <f t="shared" si="21"/>
        <v>1.3237063778580128E-2</v>
      </c>
      <c r="H57" s="1">
        <f t="shared" si="22"/>
        <v>1.716357367406952E-2</v>
      </c>
      <c r="I57" s="1"/>
      <c r="J57" s="1">
        <f t="shared" si="23"/>
        <v>1.9841543231140169E-2</v>
      </c>
      <c r="K57" s="1">
        <f t="shared" si="24"/>
        <v>1.4854111405835474E-2</v>
      </c>
      <c r="L57" s="1">
        <f t="shared" si="25"/>
        <v>-2.8140013726835927E-2</v>
      </c>
      <c r="M57" s="1">
        <f t="shared" si="26"/>
        <v>6.7161400148952013E-2</v>
      </c>
      <c r="N57" s="1">
        <f t="shared" si="27"/>
        <v>4.5188166348937374E-2</v>
      </c>
      <c r="O57" s="1">
        <f t="shared" si="28"/>
        <v>5.4700114204701937E-2</v>
      </c>
      <c r="P57" s="1">
        <f t="shared" si="29"/>
        <v>0.28844404003639662</v>
      </c>
      <c r="Q57" s="1">
        <f t="shared" si="30"/>
        <v>0.16137931034482764</v>
      </c>
      <c r="R57">
        <f t="shared" si="10"/>
        <v>8.2970700739955241</v>
      </c>
      <c r="S57">
        <f t="shared" si="16"/>
        <v>3.6033717491008619</v>
      </c>
      <c r="T57">
        <f t="shared" si="17"/>
        <v>3.4713797348031652</v>
      </c>
      <c r="U57">
        <f t="shared" si="18"/>
        <v>3.427843005705534</v>
      </c>
      <c r="V57">
        <f t="shared" si="19"/>
        <v>2.1510632533537501</v>
      </c>
      <c r="W57">
        <f t="shared" si="20"/>
        <v>1.9253120914996495</v>
      </c>
    </row>
    <row r="58" spans="1:23">
      <c r="A58" t="s">
        <v>128</v>
      </c>
      <c r="B58">
        <v>4089.5</v>
      </c>
      <c r="C58">
        <v>3033.2</v>
      </c>
      <c r="D58">
        <v>2703.8</v>
      </c>
      <c r="E58">
        <v>155.1</v>
      </c>
      <c r="F58">
        <v>83.3</v>
      </c>
      <c r="G58" s="3">
        <f t="shared" si="21"/>
        <v>-1.0688836104513131E-2</v>
      </c>
      <c r="H58" s="1">
        <f t="shared" si="22"/>
        <v>1.9291642780588741E-2</v>
      </c>
      <c r="I58" s="1"/>
      <c r="J58" s="1">
        <f t="shared" si="23"/>
        <v>2.4522056339931066E-2</v>
      </c>
      <c r="K58" s="1">
        <f t="shared" si="24"/>
        <v>9.5586588006871653E-3</v>
      </c>
      <c r="L58" s="1">
        <f t="shared" si="25"/>
        <v>9.5338983050847467E-2</v>
      </c>
      <c r="M58" s="1">
        <f t="shared" si="26"/>
        <v>8.0877494383507331E-2</v>
      </c>
      <c r="N58" s="1">
        <f t="shared" si="27"/>
        <v>6.6676044450696276E-2</v>
      </c>
      <c r="O58" s="1">
        <f t="shared" si="28"/>
        <v>5.7617836886368151E-2</v>
      </c>
      <c r="P58" s="1">
        <f t="shared" si="29"/>
        <v>0.36531690140845074</v>
      </c>
      <c r="Q58" s="1">
        <f t="shared" si="30"/>
        <v>8.1818181818181776E-2</v>
      </c>
      <c r="R58">
        <f t="shared" si="10"/>
        <v>8.3161779921750281</v>
      </c>
      <c r="S58">
        <f t="shared" si="16"/>
        <v>3.6116702125268794</v>
      </c>
      <c r="T58">
        <f t="shared" si="17"/>
        <v>3.4819010473145249</v>
      </c>
      <c r="U58">
        <f t="shared" si="18"/>
        <v>3.4319745637086605</v>
      </c>
      <c r="V58">
        <f t="shared" si="19"/>
        <v>2.190611797813605</v>
      </c>
      <c r="W58">
        <f t="shared" si="20"/>
        <v>1.9206450014067875</v>
      </c>
    </row>
    <row r="59" spans="1:23">
      <c r="A59" t="s">
        <v>129</v>
      </c>
      <c r="B59">
        <v>4144</v>
      </c>
      <c r="C59">
        <v>3065.9</v>
      </c>
      <c r="D59">
        <v>2741.1</v>
      </c>
      <c r="E59">
        <v>152.6</v>
      </c>
      <c r="F59">
        <v>82.2</v>
      </c>
      <c r="G59" s="3">
        <f t="shared" si="21"/>
        <v>-1.3205282112845071E-2</v>
      </c>
      <c r="H59" s="1">
        <f t="shared" si="22"/>
        <v>1.3326812568773688E-2</v>
      </c>
      <c r="I59" s="1"/>
      <c r="J59" s="1">
        <f t="shared" si="23"/>
        <v>1.0780693656864128E-2</v>
      </c>
      <c r="K59" s="1">
        <f t="shared" si="24"/>
        <v>1.3795399067978298E-2</v>
      </c>
      <c r="L59" s="1">
        <f t="shared" si="25"/>
        <v>-1.6118633139909737E-2</v>
      </c>
      <c r="M59" s="1">
        <f t="shared" si="26"/>
        <v>6.6254985205197472E-2</v>
      </c>
      <c r="N59" s="1">
        <f t="shared" si="27"/>
        <v>6.9375653993721698E-2</v>
      </c>
      <c r="O59" s="1">
        <f t="shared" si="28"/>
        <v>5.2649769585253421E-2</v>
      </c>
      <c r="P59" s="1">
        <f t="shared" si="29"/>
        <v>0.14736842105263154</v>
      </c>
      <c r="Q59" s="1">
        <f t="shared" si="30"/>
        <v>2.1118012422360284E-2</v>
      </c>
      <c r="R59">
        <f t="shared" si="10"/>
        <v>8.3294167839393189</v>
      </c>
      <c r="S59">
        <f t="shared" si="16"/>
        <v>3.6174197467371765</v>
      </c>
      <c r="T59">
        <f t="shared" si="17"/>
        <v>3.4865579854314519</v>
      </c>
      <c r="U59">
        <f t="shared" si="18"/>
        <v>3.4379248796314323</v>
      </c>
      <c r="V59">
        <f t="shared" si="19"/>
        <v>2.1835545336188615</v>
      </c>
      <c r="W59">
        <f t="shared" si="20"/>
        <v>1.9148718175400503</v>
      </c>
    </row>
    <row r="60" spans="1:23">
      <c r="A60" t="s">
        <v>130</v>
      </c>
      <c r="B60">
        <v>4166.3999999999996</v>
      </c>
      <c r="C60">
        <v>3102.7</v>
      </c>
      <c r="D60">
        <v>2754.6</v>
      </c>
      <c r="E60">
        <v>141.80000000000001</v>
      </c>
      <c r="F60">
        <v>81.7</v>
      </c>
      <c r="G60" s="3">
        <f t="shared" si="21"/>
        <v>-6.0827250608272501E-3</v>
      </c>
      <c r="H60" s="1">
        <f t="shared" si="22"/>
        <v>5.4054054054053172E-3</v>
      </c>
      <c r="I60" s="1"/>
      <c r="J60" s="1">
        <f t="shared" si="23"/>
        <v>1.2003000750187457E-2</v>
      </c>
      <c r="K60" s="1">
        <f t="shared" si="24"/>
        <v>4.9250300974061512E-3</v>
      </c>
      <c r="L60" s="1">
        <f t="shared" si="25"/>
        <v>-7.0773263433813779E-2</v>
      </c>
      <c r="M60" s="1">
        <f t="shared" si="26"/>
        <v>5.6282324307879411E-2</v>
      </c>
      <c r="N60" s="1">
        <f t="shared" si="27"/>
        <v>6.8790905959352333E-2</v>
      </c>
      <c r="O60" s="1">
        <f t="shared" si="28"/>
        <v>4.3804471390678251E-2</v>
      </c>
      <c r="P60" s="1">
        <f t="shared" si="29"/>
        <v>-2.6767330130404787E-2</v>
      </c>
      <c r="Q60" s="1">
        <f t="shared" si="30"/>
        <v>-1.684717208182902E-2</v>
      </c>
      <c r="R60">
        <f t="shared" si="10"/>
        <v>8.3348076325741953</v>
      </c>
      <c r="S60">
        <f t="shared" si="16"/>
        <v>3.6197609625520792</v>
      </c>
      <c r="T60">
        <f t="shared" si="17"/>
        <v>3.4917397856894969</v>
      </c>
      <c r="U60">
        <f t="shared" si="18"/>
        <v>3.4400585431496644</v>
      </c>
      <c r="V60">
        <f t="shared" si="19"/>
        <v>2.1516762308470478</v>
      </c>
      <c r="W60">
        <f t="shared" si="20"/>
        <v>1.9122220565324155</v>
      </c>
    </row>
    <row r="61" spans="1:23">
      <c r="A61" t="s">
        <v>131</v>
      </c>
      <c r="B61">
        <v>4194.2</v>
      </c>
      <c r="C61">
        <v>3118.5</v>
      </c>
      <c r="D61">
        <v>2784.8</v>
      </c>
      <c r="E61">
        <v>136.30000000000001</v>
      </c>
      <c r="F61">
        <v>83.4</v>
      </c>
      <c r="G61" s="3">
        <f t="shared" si="21"/>
        <v>2.0807833537331736E-2</v>
      </c>
      <c r="H61" s="1">
        <f t="shared" si="22"/>
        <v>6.6724270353303054E-3</v>
      </c>
      <c r="I61" s="1"/>
      <c r="J61" s="1">
        <f t="shared" si="23"/>
        <v>5.0923389306088834E-3</v>
      </c>
      <c r="K61" s="1">
        <f t="shared" si="24"/>
        <v>1.0963479271037637E-2</v>
      </c>
      <c r="L61" s="1">
        <f t="shared" si="25"/>
        <v>-3.8787023977432999E-2</v>
      </c>
      <c r="M61" s="1">
        <f t="shared" si="26"/>
        <v>4.5387702200842428E-2</v>
      </c>
      <c r="N61" s="1">
        <f t="shared" si="27"/>
        <v>5.33337836924948E-2</v>
      </c>
      <c r="O61" s="1">
        <f t="shared" si="28"/>
        <v>3.9802852662235967E-2</v>
      </c>
      <c r="P61" s="1">
        <f t="shared" si="29"/>
        <v>-3.742937853107333E-2</v>
      </c>
      <c r="Q61" s="1">
        <f t="shared" si="30"/>
        <v>-9.5011876484560227E-3</v>
      </c>
      <c r="R61">
        <f t="shared" si="10"/>
        <v>8.341457897497019</v>
      </c>
      <c r="S61">
        <f t="shared" si="16"/>
        <v>3.622649135911256</v>
      </c>
      <c r="T61">
        <f t="shared" si="17"/>
        <v>3.4939457483871506</v>
      </c>
      <c r="U61">
        <f t="shared" si="18"/>
        <v>3.4447940102762318</v>
      </c>
      <c r="V61">
        <f t="shared" si="19"/>
        <v>2.1344958558346736</v>
      </c>
      <c r="W61">
        <f t="shared" si="20"/>
        <v>1.9211660506377388</v>
      </c>
    </row>
    <row r="62" spans="1:23">
      <c r="A62" t="s">
        <v>132</v>
      </c>
      <c r="B62">
        <v>4221.8</v>
      </c>
      <c r="C62">
        <v>3123.6</v>
      </c>
      <c r="D62">
        <v>2824.9</v>
      </c>
      <c r="E62">
        <v>125.2</v>
      </c>
      <c r="F62">
        <v>87.2</v>
      </c>
      <c r="G62" s="3">
        <f t="shared" si="21"/>
        <v>4.5563549160671422E-2</v>
      </c>
      <c r="H62" s="1">
        <f t="shared" si="22"/>
        <v>6.5805159505985325E-3</v>
      </c>
      <c r="I62" s="1"/>
      <c r="J62" s="1">
        <f t="shared" si="23"/>
        <v>1.6354016354016062E-3</v>
      </c>
      <c r="K62" s="1">
        <f t="shared" si="24"/>
        <v>1.43995978167193E-2</v>
      </c>
      <c r="L62" s="1">
        <f t="shared" si="25"/>
        <v>-8.1438004402054343E-2</v>
      </c>
      <c r="M62" s="1">
        <f t="shared" si="26"/>
        <v>3.2351143171536909E-2</v>
      </c>
      <c r="N62" s="1">
        <f t="shared" si="27"/>
        <v>2.9803507846498777E-2</v>
      </c>
      <c r="O62" s="1">
        <f t="shared" si="28"/>
        <v>4.4788815740809194E-2</v>
      </c>
      <c r="P62" s="1">
        <f t="shared" si="29"/>
        <v>-0.1927788523533204</v>
      </c>
      <c r="Q62" s="1">
        <f t="shared" si="30"/>
        <v>4.681872749099647E-2</v>
      </c>
      <c r="R62">
        <f t="shared" si="10"/>
        <v>8.3480168563719701</v>
      </c>
      <c r="S62">
        <f t="shared" si="16"/>
        <v>3.6254976555576777</v>
      </c>
      <c r="T62">
        <f t="shared" si="17"/>
        <v>3.4946554141568607</v>
      </c>
      <c r="U62">
        <f t="shared" si="18"/>
        <v>3.4510030786273611</v>
      </c>
      <c r="V62">
        <f t="shared" si="19"/>
        <v>2.0976043288744108</v>
      </c>
      <c r="W62">
        <f t="shared" si="20"/>
        <v>1.9405164849325673</v>
      </c>
    </row>
    <row r="63" spans="1:23">
      <c r="A63" t="s">
        <v>133</v>
      </c>
      <c r="B63">
        <v>4254.8</v>
      </c>
      <c r="C63">
        <v>3189.6</v>
      </c>
      <c r="D63">
        <v>2849.7</v>
      </c>
      <c r="E63">
        <v>124.8</v>
      </c>
      <c r="F63">
        <v>90.8</v>
      </c>
      <c r="G63" s="3">
        <f t="shared" si="21"/>
        <v>4.1284403669724704E-2</v>
      </c>
      <c r="H63" s="1">
        <f t="shared" si="22"/>
        <v>7.8165711307972893E-3</v>
      </c>
      <c r="I63" s="1"/>
      <c r="J63" s="1">
        <f t="shared" si="23"/>
        <v>2.1129466000768343E-2</v>
      </c>
      <c r="K63" s="1">
        <f t="shared" si="24"/>
        <v>8.77907182555125E-3</v>
      </c>
      <c r="L63" s="1">
        <f t="shared" si="25"/>
        <v>-3.1948881789137834E-3</v>
      </c>
      <c r="M63" s="1">
        <f t="shared" si="26"/>
        <v>2.6737451737451783E-2</v>
      </c>
      <c r="N63" s="1">
        <f t="shared" si="27"/>
        <v>4.0347043282559711E-2</v>
      </c>
      <c r="O63" s="1">
        <f t="shared" si="28"/>
        <v>3.9619131005800556E-2</v>
      </c>
      <c r="P63" s="1">
        <f t="shared" si="29"/>
        <v>-0.18217562254259501</v>
      </c>
      <c r="Q63" s="1">
        <f t="shared" si="30"/>
        <v>0.10462287104622864</v>
      </c>
      <c r="R63">
        <f t="shared" si="10"/>
        <v>8.3558030363775107</v>
      </c>
      <c r="S63">
        <f t="shared" si="16"/>
        <v>3.6288791505691891</v>
      </c>
      <c r="T63">
        <f t="shared" si="17"/>
        <v>3.503736222654338</v>
      </c>
      <c r="U63">
        <f t="shared" si="18"/>
        <v>3.4547991423936564</v>
      </c>
      <c r="V63">
        <f t="shared" si="19"/>
        <v>2.0962145853464054</v>
      </c>
      <c r="W63">
        <f t="shared" si="20"/>
        <v>1.958085848521085</v>
      </c>
    </row>
    <row r="64" spans="1:23">
      <c r="A64" t="s">
        <v>134</v>
      </c>
      <c r="B64">
        <v>4309</v>
      </c>
      <c r="C64">
        <v>3156.5</v>
      </c>
      <c r="D64">
        <v>2893.3</v>
      </c>
      <c r="E64">
        <v>129.80000000000001</v>
      </c>
      <c r="F64">
        <v>94.1</v>
      </c>
      <c r="G64" s="3">
        <f t="shared" si="21"/>
        <v>3.6343612334801732E-2</v>
      </c>
      <c r="H64" s="1">
        <f t="shared" si="22"/>
        <v>1.2738554103600596E-2</v>
      </c>
      <c r="I64" s="1"/>
      <c r="J64" s="1">
        <f t="shared" si="23"/>
        <v>-1.0377476799598667E-2</v>
      </c>
      <c r="K64" s="1">
        <f t="shared" si="24"/>
        <v>1.529985612520629E-2</v>
      </c>
      <c r="L64" s="1">
        <f t="shared" si="25"/>
        <v>4.0064102564102679E-2</v>
      </c>
      <c r="M64" s="1">
        <f t="shared" si="26"/>
        <v>3.422619047619057E-2</v>
      </c>
      <c r="N64" s="1">
        <f t="shared" si="27"/>
        <v>1.7339736358655423E-2</v>
      </c>
      <c r="O64" s="1">
        <f t="shared" si="28"/>
        <v>5.0352138241487071E-2</v>
      </c>
      <c r="P64" s="1">
        <f t="shared" si="29"/>
        <v>-8.4626234132581094E-2</v>
      </c>
      <c r="Q64" s="1">
        <f t="shared" si="30"/>
        <v>0.15177478580171347</v>
      </c>
      <c r="R64">
        <f t="shared" si="10"/>
        <v>8.3684611376158387</v>
      </c>
      <c r="S64">
        <f t="shared" si="16"/>
        <v>3.6343764940883676</v>
      </c>
      <c r="T64">
        <f t="shared" si="17"/>
        <v>3.4992057936633727</v>
      </c>
      <c r="U64">
        <f t="shared" si="18"/>
        <v>3.4613934670353594</v>
      </c>
      <c r="V64">
        <f t="shared" si="19"/>
        <v>2.1132746924643504</v>
      </c>
      <c r="W64">
        <f t="shared" si="20"/>
        <v>1.973589623427257</v>
      </c>
    </row>
    <row r="65" spans="1:23">
      <c r="A65" t="s">
        <v>135</v>
      </c>
      <c r="B65">
        <v>4333.5</v>
      </c>
      <c r="C65">
        <v>3178.7</v>
      </c>
      <c r="D65">
        <v>2895.3</v>
      </c>
      <c r="E65">
        <v>134.19999999999999</v>
      </c>
      <c r="F65">
        <v>97.4</v>
      </c>
      <c r="G65" s="3">
        <f t="shared" si="21"/>
        <v>3.5069075451647308E-2</v>
      </c>
      <c r="H65" s="1">
        <f t="shared" si="22"/>
        <v>5.6857739614759803E-3</v>
      </c>
      <c r="I65" s="1"/>
      <c r="J65" s="1">
        <f t="shared" si="23"/>
        <v>7.0331062886107455E-3</v>
      </c>
      <c r="K65" s="1">
        <f t="shared" si="24"/>
        <v>6.9125220336639821E-4</v>
      </c>
      <c r="L65" s="1">
        <f t="shared" si="25"/>
        <v>3.3898305084745582E-2</v>
      </c>
      <c r="M65" s="1">
        <f t="shared" si="26"/>
        <v>3.3212531591245098E-2</v>
      </c>
      <c r="N65" s="1">
        <f t="shared" si="27"/>
        <v>1.9304152637485913E-2</v>
      </c>
      <c r="O65" s="1">
        <f t="shared" si="28"/>
        <v>3.9679689744326341E-2</v>
      </c>
      <c r="P65" s="1">
        <f t="shared" si="29"/>
        <v>-1.5407190022010436E-2</v>
      </c>
      <c r="Q65" s="1">
        <f t="shared" si="30"/>
        <v>0.16786570743405274</v>
      </c>
      <c r="R65">
        <f t="shared" si="10"/>
        <v>8.3741308085743995</v>
      </c>
      <c r="S65">
        <f t="shared" si="16"/>
        <v>3.636838800899878</v>
      </c>
      <c r="T65">
        <f t="shared" si="17"/>
        <v>3.5022495419152233</v>
      </c>
      <c r="U65">
        <f t="shared" si="18"/>
        <v>3.4616935703412945</v>
      </c>
      <c r="V65">
        <f t="shared" si="19"/>
        <v>2.1277525158329733</v>
      </c>
      <c r="W65">
        <f t="shared" si="20"/>
        <v>1.9885589568786155</v>
      </c>
    </row>
    <row r="66" spans="1:23">
      <c r="A66" t="s">
        <v>136</v>
      </c>
      <c r="B66">
        <v>4390.5</v>
      </c>
      <c r="C66">
        <v>3227.5</v>
      </c>
      <c r="D66">
        <v>2922.4</v>
      </c>
      <c r="E66">
        <v>109.2</v>
      </c>
      <c r="F66">
        <v>105.1</v>
      </c>
      <c r="G66" s="3">
        <f t="shared" si="21"/>
        <v>7.9055441478439306E-2</v>
      </c>
      <c r="H66" s="1">
        <f t="shared" si="22"/>
        <v>1.3153340256143994E-2</v>
      </c>
      <c r="I66" s="1"/>
      <c r="J66" s="1">
        <f t="shared" si="23"/>
        <v>1.5352188001384272E-2</v>
      </c>
      <c r="K66" s="1">
        <f t="shared" si="24"/>
        <v>9.3599972369011533E-3</v>
      </c>
      <c r="L66" s="1">
        <f t="shared" si="25"/>
        <v>-0.18628912071535014</v>
      </c>
      <c r="M66" s="1">
        <f t="shared" si="26"/>
        <v>3.9959259083803073E-2</v>
      </c>
      <c r="N66" s="1">
        <f t="shared" si="27"/>
        <v>3.3262901779997467E-2</v>
      </c>
      <c r="O66" s="1">
        <f t="shared" si="28"/>
        <v>3.4514496088357112E-2</v>
      </c>
      <c r="P66" s="1">
        <f t="shared" si="29"/>
        <v>-0.12779552715654952</v>
      </c>
      <c r="Q66" s="1">
        <f t="shared" si="30"/>
        <v>0.20527522935779807</v>
      </c>
      <c r="R66">
        <f t="shared" si="10"/>
        <v>8.3871983948000501</v>
      </c>
      <c r="S66">
        <f t="shared" si="16"/>
        <v>3.6425139814894734</v>
      </c>
      <c r="T66">
        <f t="shared" si="17"/>
        <v>3.5088662509384578</v>
      </c>
      <c r="U66">
        <f t="shared" si="18"/>
        <v>3.4657396592038601</v>
      </c>
      <c r="V66">
        <f t="shared" si="19"/>
        <v>2.0382226383687185</v>
      </c>
      <c r="W66">
        <f t="shared" si="20"/>
        <v>2.0216027160282422</v>
      </c>
    </row>
    <row r="67" spans="1:23">
      <c r="A67" t="s">
        <v>137</v>
      </c>
      <c r="B67">
        <v>4387.7</v>
      </c>
      <c r="C67">
        <v>3281.4</v>
      </c>
      <c r="D67">
        <v>2947.9</v>
      </c>
      <c r="E67">
        <v>106</v>
      </c>
      <c r="F67">
        <v>110.7</v>
      </c>
      <c r="G67" s="3">
        <f t="shared" ref="G67:G89" si="31">(F67-F66)/F66</f>
        <v>5.3282588011417782E-2</v>
      </c>
      <c r="H67" s="1">
        <f t="shared" si="22"/>
        <v>-6.3774057624420494E-4</v>
      </c>
      <c r="I67" s="1"/>
      <c r="J67" s="1">
        <f t="shared" si="23"/>
        <v>1.6700232378001577E-2</v>
      </c>
      <c r="K67" s="1">
        <f t="shared" si="24"/>
        <v>8.7257049000821242E-3</v>
      </c>
      <c r="L67" s="1">
        <f t="shared" si="25"/>
        <v>-2.9304029304029328E-2</v>
      </c>
      <c r="M67" s="1">
        <f t="shared" si="26"/>
        <v>3.1235310707906278E-2</v>
      </c>
      <c r="N67" s="1">
        <f t="shared" si="27"/>
        <v>2.8781038374717891E-2</v>
      </c>
      <c r="O67" s="1">
        <f t="shared" si="28"/>
        <v>3.445976769484517E-2</v>
      </c>
      <c r="P67" s="1">
        <f t="shared" si="29"/>
        <v>-0.15064102564102563</v>
      </c>
      <c r="Q67" s="1">
        <f t="shared" si="30"/>
        <v>0.21916299559471372</v>
      </c>
      <c r="R67">
        <f t="shared" ref="R67:R89" si="32">LN(B67)</f>
        <v>8.3865604507807845</v>
      </c>
      <c r="S67">
        <f t="shared" ref="S67:V89" si="33">LOG10(B67)</f>
        <v>3.642236925922143</v>
      </c>
      <c r="T67">
        <f t="shared" si="33"/>
        <v>3.5160591737582823</v>
      </c>
      <c r="U67">
        <f t="shared" si="33"/>
        <v>3.4695127471026179</v>
      </c>
      <c r="V67">
        <f t="shared" si="33"/>
        <v>2.0253058652647704</v>
      </c>
      <c r="W67">
        <f t="shared" ref="W67:W89" si="34">LOG10(F67)</f>
        <v>2.0441476208787228</v>
      </c>
    </row>
    <row r="68" spans="1:23">
      <c r="A68" t="s">
        <v>138</v>
      </c>
      <c r="B68">
        <v>4412.6000000000004</v>
      </c>
      <c r="C68">
        <v>3272.6</v>
      </c>
      <c r="D68">
        <v>2993.7</v>
      </c>
      <c r="E68">
        <v>111</v>
      </c>
      <c r="F68">
        <v>112.3</v>
      </c>
      <c r="G68" s="3">
        <f t="shared" si="31"/>
        <v>1.4453477868111964E-2</v>
      </c>
      <c r="H68" s="1">
        <f t="shared" ref="H68:H89" si="35">(B68-B67)/B67</f>
        <v>5.6749549878069485E-3</v>
      </c>
      <c r="I68" s="1"/>
      <c r="J68" s="1">
        <f t="shared" ref="J68:L89" si="36">(C68-C67)/C67</f>
        <v>-2.6817821661486506E-3</v>
      </c>
      <c r="K68" s="1">
        <f t="shared" si="36"/>
        <v>1.553648359849375E-2</v>
      </c>
      <c r="L68" s="1">
        <f t="shared" si="36"/>
        <v>4.716981132075472E-2</v>
      </c>
      <c r="M68" s="1">
        <f t="shared" si="26"/>
        <v>2.40427013228128E-2</v>
      </c>
      <c r="N68" s="1">
        <f t="shared" si="27"/>
        <v>3.6781245049897007E-2</v>
      </c>
      <c r="O68" s="1">
        <f t="shared" si="28"/>
        <v>3.4700860608993064E-2</v>
      </c>
      <c r="P68" s="1">
        <f t="shared" si="29"/>
        <v>-0.14483821263482288</v>
      </c>
      <c r="Q68" s="1">
        <f t="shared" si="30"/>
        <v>0.1934112646121148</v>
      </c>
      <c r="R68">
        <f t="shared" si="32"/>
        <v>8.3922193638742719</v>
      </c>
      <c r="S68">
        <f t="shared" si="33"/>
        <v>3.6446945606522143</v>
      </c>
      <c r="T68">
        <f t="shared" si="33"/>
        <v>3.5148929260508002</v>
      </c>
      <c r="U68">
        <f t="shared" si="33"/>
        <v>3.4762082773455507</v>
      </c>
      <c r="V68">
        <f t="shared" si="33"/>
        <v>2.0453229787866576</v>
      </c>
      <c r="W68">
        <f t="shared" si="34"/>
        <v>2.0503797562614579</v>
      </c>
    </row>
    <row r="69" spans="1:23">
      <c r="A69" t="s">
        <v>139</v>
      </c>
      <c r="B69">
        <v>4427.1000000000004</v>
      </c>
      <c r="C69">
        <v>3266.2</v>
      </c>
      <c r="D69">
        <v>3012.5</v>
      </c>
      <c r="E69">
        <v>119.2</v>
      </c>
      <c r="F69">
        <v>111</v>
      </c>
      <c r="G69" s="3">
        <f t="shared" si="31"/>
        <v>-1.1576135351736395E-2</v>
      </c>
      <c r="H69" s="1">
        <f t="shared" si="35"/>
        <v>3.2860445089063135E-3</v>
      </c>
      <c r="I69" s="1"/>
      <c r="J69" s="1">
        <f t="shared" si="36"/>
        <v>-1.9556316078958905E-3</v>
      </c>
      <c r="K69" s="1">
        <f t="shared" si="36"/>
        <v>6.2798543608244594E-3</v>
      </c>
      <c r="L69" s="1">
        <f t="shared" si="36"/>
        <v>7.3873873873873896E-2</v>
      </c>
      <c r="M69" s="1">
        <f t="shared" si="26"/>
        <v>2.1599169262720749E-2</v>
      </c>
      <c r="N69" s="1">
        <f t="shared" si="27"/>
        <v>2.7526976436908171E-2</v>
      </c>
      <c r="O69" s="1">
        <f t="shared" si="28"/>
        <v>4.0479397644458195E-2</v>
      </c>
      <c r="P69" s="1">
        <f t="shared" si="29"/>
        <v>-0.11177347242921004</v>
      </c>
      <c r="Q69" s="1">
        <f t="shared" si="30"/>
        <v>0.1396303901437371</v>
      </c>
      <c r="R69">
        <f t="shared" si="32"/>
        <v>8.3955000211375133</v>
      </c>
      <c r="S69">
        <f t="shared" si="33"/>
        <v>3.6461193319986562</v>
      </c>
      <c r="T69">
        <f t="shared" si="33"/>
        <v>3.5140427744719904</v>
      </c>
      <c r="U69">
        <f t="shared" si="33"/>
        <v>3.4789270555829246</v>
      </c>
      <c r="V69">
        <f t="shared" si="33"/>
        <v>2.0762762554042178</v>
      </c>
      <c r="W69">
        <f t="shared" si="34"/>
        <v>2.0453229787866576</v>
      </c>
    </row>
    <row r="70" spans="1:23">
      <c r="A70" t="s">
        <v>140</v>
      </c>
      <c r="B70">
        <v>4460</v>
      </c>
      <c r="C70">
        <v>3295.2</v>
      </c>
      <c r="D70">
        <v>3011.5</v>
      </c>
      <c r="E70">
        <v>140.19999999999999</v>
      </c>
      <c r="F70">
        <v>108</v>
      </c>
      <c r="G70" s="3">
        <f t="shared" si="31"/>
        <v>-2.7027027027027029E-2</v>
      </c>
      <c r="H70" s="1">
        <f t="shared" si="35"/>
        <v>7.4315014343474583E-3</v>
      </c>
      <c r="I70" s="1"/>
      <c r="J70" s="1">
        <f t="shared" si="36"/>
        <v>8.878819423182905E-3</v>
      </c>
      <c r="K70" s="1">
        <f t="shared" si="36"/>
        <v>-3.3195020746887966E-4</v>
      </c>
      <c r="L70" s="1">
        <f t="shared" si="36"/>
        <v>0.17617449664429519</v>
      </c>
      <c r="M70" s="1">
        <f>(B70-B66)/B66</f>
        <v>1.5829632160346201E-2</v>
      </c>
      <c r="N70" s="1">
        <f>(C70-C66)/C66</f>
        <v>2.0975987606506527E-2</v>
      </c>
      <c r="O70" s="1">
        <f>(D70-D66)/D66</f>
        <v>3.0488639474404566E-2</v>
      </c>
      <c r="P70" s="1">
        <f>(E70-E66)/E66</f>
        <v>0.28388278388278376</v>
      </c>
      <c r="Q70" s="1">
        <f>(F70-F66)/F66</f>
        <v>2.7592768791627077E-2</v>
      </c>
      <c r="R70">
        <f t="shared" si="32"/>
        <v>8.4029040450141093</v>
      </c>
      <c r="S70">
        <f t="shared" si="33"/>
        <v>3.6493348587121419</v>
      </c>
      <c r="T70">
        <f t="shared" si="33"/>
        <v>3.517881778948361</v>
      </c>
      <c r="U70">
        <f t="shared" si="33"/>
        <v>3.4787828675065993</v>
      </c>
      <c r="V70">
        <f t="shared" si="33"/>
        <v>2.1467480136306398</v>
      </c>
      <c r="W70">
        <f t="shared" si="34"/>
        <v>2.0334237554869499</v>
      </c>
    </row>
    <row r="71" spans="1:23">
      <c r="A71" t="s">
        <v>141</v>
      </c>
      <c r="B71">
        <v>4515.3</v>
      </c>
      <c r="C71">
        <v>3241.7</v>
      </c>
      <c r="D71">
        <v>3046.8</v>
      </c>
      <c r="E71">
        <v>157.9</v>
      </c>
      <c r="F71">
        <v>105.5</v>
      </c>
      <c r="G71" s="3">
        <f t="shared" si="31"/>
        <v>-2.3148148148148147E-2</v>
      </c>
      <c r="H71" s="1">
        <f t="shared" si="35"/>
        <v>1.2399103139013493E-2</v>
      </c>
      <c r="I71" s="1"/>
      <c r="J71" s="1">
        <f t="shared" si="36"/>
        <v>-1.6235736829327507E-2</v>
      </c>
      <c r="K71" s="1">
        <f t="shared" si="36"/>
        <v>1.1721733355470757E-2</v>
      </c>
      <c r="L71" s="1">
        <f t="shared" si="36"/>
        <v>0.1262482168330957</v>
      </c>
      <c r="M71" s="1">
        <f t="shared" ref="M71:P89" si="37">(B71-B67)/B67</f>
        <v>2.9081295439524209E-2</v>
      </c>
      <c r="N71" s="1">
        <f t="shared" si="37"/>
        <v>-1.2098494545011359E-2</v>
      </c>
      <c r="O71" s="1">
        <f t="shared" si="37"/>
        <v>3.3549306285830624E-2</v>
      </c>
      <c r="P71" s="1">
        <f t="shared" si="37"/>
        <v>0.48962264150943402</v>
      </c>
      <c r="Q71" s="1">
        <f t="shared" ref="Q71:Q89" si="38">(F71-F67)/F67</f>
        <v>-4.6973803071364069E-2</v>
      </c>
      <c r="R71">
        <f t="shared" si="32"/>
        <v>8.4152269088264262</v>
      </c>
      <c r="S71">
        <f t="shared" si="33"/>
        <v>3.6546866104670763</v>
      </c>
      <c r="T71">
        <f t="shared" si="33"/>
        <v>3.5107728210081501</v>
      </c>
      <c r="U71">
        <f t="shared" si="33"/>
        <v>3.4838439469213469</v>
      </c>
      <c r="V71">
        <f t="shared" si="33"/>
        <v>2.1983821300082944</v>
      </c>
      <c r="W71">
        <f t="shared" si="34"/>
        <v>2.0232524596337114</v>
      </c>
    </row>
    <row r="72" spans="1:23">
      <c r="A72" t="s">
        <v>142</v>
      </c>
      <c r="B72">
        <v>4559.3</v>
      </c>
      <c r="C72">
        <v>3285.7</v>
      </c>
      <c r="D72">
        <v>3075.8</v>
      </c>
      <c r="E72">
        <v>169.1</v>
      </c>
      <c r="F72">
        <v>105.1</v>
      </c>
      <c r="G72" s="3">
        <f t="shared" si="31"/>
        <v>-3.7914691943128501E-3</v>
      </c>
      <c r="H72" s="1">
        <f t="shared" si="35"/>
        <v>9.7446459814408779E-3</v>
      </c>
      <c r="I72" s="1"/>
      <c r="J72" s="1">
        <f t="shared" si="36"/>
        <v>1.3573125212080083E-2</v>
      </c>
      <c r="K72" s="1">
        <f t="shared" si="36"/>
        <v>9.5181830116843891E-3</v>
      </c>
      <c r="L72" s="1">
        <f t="shared" si="36"/>
        <v>7.0930968967701E-2</v>
      </c>
      <c r="M72" s="1">
        <f t="shared" si="37"/>
        <v>3.3245705479762452E-2</v>
      </c>
      <c r="N72" s="1">
        <f t="shared" si="37"/>
        <v>4.0029334474118161E-3</v>
      </c>
      <c r="O72" s="1">
        <f t="shared" si="37"/>
        <v>2.7424257607642839E-2</v>
      </c>
      <c r="P72" s="1">
        <f t="shared" si="37"/>
        <v>0.52342342342342341</v>
      </c>
      <c r="Q72" s="1">
        <f t="shared" si="38"/>
        <v>-6.4113980409617119E-2</v>
      </c>
      <c r="R72">
        <f t="shared" si="32"/>
        <v>8.4249243819528239</v>
      </c>
      <c r="S72">
        <f t="shared" si="33"/>
        <v>3.6588981695342762</v>
      </c>
      <c r="T72">
        <f t="shared" si="33"/>
        <v>3.5166279077623535</v>
      </c>
      <c r="U72">
        <f t="shared" si="33"/>
        <v>3.4879580925987486</v>
      </c>
      <c r="V72">
        <f t="shared" si="33"/>
        <v>2.2281436075977417</v>
      </c>
      <c r="W72">
        <f t="shared" si="34"/>
        <v>2.0216027160282422</v>
      </c>
    </row>
    <row r="73" spans="1:23">
      <c r="A73" t="s">
        <v>143</v>
      </c>
      <c r="B73">
        <v>4625.5</v>
      </c>
      <c r="C73">
        <v>3335.8</v>
      </c>
      <c r="D73">
        <v>3074.6</v>
      </c>
      <c r="E73">
        <v>176</v>
      </c>
      <c r="F73">
        <v>106.3</v>
      </c>
      <c r="G73" s="3">
        <f t="shared" si="31"/>
        <v>1.1417697431018106E-2</v>
      </c>
      <c r="H73" s="1">
        <f t="shared" si="35"/>
        <v>1.4519772772136032E-2</v>
      </c>
      <c r="I73" s="1"/>
      <c r="J73" s="1">
        <f t="shared" si="36"/>
        <v>1.5247892382140903E-2</v>
      </c>
      <c r="K73" s="1">
        <f t="shared" si="36"/>
        <v>-3.9014240197681019E-4</v>
      </c>
      <c r="L73" s="1">
        <f t="shared" si="36"/>
        <v>4.0804257835600273E-2</v>
      </c>
      <c r="M73" s="1">
        <f t="shared" si="37"/>
        <v>4.4814890108648919E-2</v>
      </c>
      <c r="N73" s="1">
        <f t="shared" si="37"/>
        <v>2.1309166615639082E-2</v>
      </c>
      <c r="O73" s="1">
        <f t="shared" si="37"/>
        <v>2.0614107883817397E-2</v>
      </c>
      <c r="P73" s="1">
        <f t="shared" si="37"/>
        <v>0.47651006711409394</v>
      </c>
      <c r="Q73" s="1">
        <f t="shared" si="38"/>
        <v>-4.2342342342342368E-2</v>
      </c>
      <c r="R73">
        <f t="shared" si="32"/>
        <v>8.4393397522113727</v>
      </c>
      <c r="S73">
        <f t="shared" si="33"/>
        <v>3.6651586852921558</v>
      </c>
      <c r="T73">
        <f t="shared" si="33"/>
        <v>3.5232000043457465</v>
      </c>
      <c r="U73">
        <f t="shared" si="33"/>
        <v>3.4877886228455952</v>
      </c>
      <c r="V73">
        <f t="shared" si="33"/>
        <v>2.2455126678141499</v>
      </c>
      <c r="W73">
        <f t="shared" si="34"/>
        <v>2.0265332645232967</v>
      </c>
    </row>
    <row r="74" spans="1:23">
      <c r="A74" t="s">
        <v>144</v>
      </c>
      <c r="B74">
        <v>4655.3</v>
      </c>
      <c r="C74">
        <v>3380.1</v>
      </c>
      <c r="D74">
        <v>3128.2</v>
      </c>
      <c r="E74">
        <v>195.5</v>
      </c>
      <c r="F74">
        <v>109.6</v>
      </c>
      <c r="G74" s="3">
        <f t="shared" si="31"/>
        <v>3.1044214487300069E-2</v>
      </c>
      <c r="H74" s="1">
        <f t="shared" si="35"/>
        <v>6.4425467517025582E-3</v>
      </c>
      <c r="I74" s="1"/>
      <c r="J74" s="1">
        <f t="shared" si="36"/>
        <v>1.3280172672222472E-2</v>
      </c>
      <c r="K74" s="1">
        <f t="shared" si="36"/>
        <v>1.7433162037338162E-2</v>
      </c>
      <c r="L74" s="1">
        <f t="shared" si="36"/>
        <v>0.11079545454545454</v>
      </c>
      <c r="M74" s="1">
        <f t="shared" si="37"/>
        <v>4.3789237668161479E-2</v>
      </c>
      <c r="N74" s="1">
        <f t="shared" si="37"/>
        <v>2.5764748725418819E-2</v>
      </c>
      <c r="O74" s="1">
        <f t="shared" si="37"/>
        <v>3.875145276440306E-2</v>
      </c>
      <c r="P74" s="1">
        <f t="shared" si="37"/>
        <v>0.39443651925820267</v>
      </c>
      <c r="Q74" s="1">
        <f t="shared" si="38"/>
        <v>1.4814814814814762E-2</v>
      </c>
      <c r="R74">
        <f t="shared" si="32"/>
        <v>8.4457616344659243</v>
      </c>
      <c r="S74">
        <f t="shared" si="33"/>
        <v>3.6679476733187397</v>
      </c>
      <c r="T74">
        <f t="shared" si="33"/>
        <v>3.528929549036754</v>
      </c>
      <c r="U74">
        <f t="shared" si="33"/>
        <v>3.4952945116894982</v>
      </c>
      <c r="V74">
        <f t="shared" si="33"/>
        <v>2.2911467617318855</v>
      </c>
      <c r="W74">
        <f t="shared" si="34"/>
        <v>2.0398105541483504</v>
      </c>
    </row>
    <row r="75" spans="1:23">
      <c r="A75" t="s">
        <v>145</v>
      </c>
      <c r="B75">
        <v>4704.8</v>
      </c>
      <c r="C75">
        <v>3386.3</v>
      </c>
      <c r="D75">
        <v>3147.8</v>
      </c>
      <c r="E75">
        <v>207.2</v>
      </c>
      <c r="F75">
        <v>113.3</v>
      </c>
      <c r="G75" s="3">
        <f t="shared" si="31"/>
        <v>3.3759124087591269E-2</v>
      </c>
      <c r="H75" s="1">
        <f t="shared" si="35"/>
        <v>1.0633041909221748E-2</v>
      </c>
      <c r="I75" s="1"/>
      <c r="J75" s="1">
        <f t="shared" si="36"/>
        <v>1.8342652584243876E-3</v>
      </c>
      <c r="K75" s="1">
        <f t="shared" si="36"/>
        <v>6.2655840419411687E-3</v>
      </c>
      <c r="L75" s="1">
        <f t="shared" si="36"/>
        <v>5.9846547314577947E-2</v>
      </c>
      <c r="M75" s="1">
        <f t="shared" si="37"/>
        <v>4.1968418488251058E-2</v>
      </c>
      <c r="N75" s="1">
        <f t="shared" si="37"/>
        <v>4.4606225128790561E-2</v>
      </c>
      <c r="O75" s="1">
        <f t="shared" si="37"/>
        <v>3.314953393724563E-2</v>
      </c>
      <c r="P75" s="1">
        <f t="shared" si="37"/>
        <v>0.31222292590246981</v>
      </c>
      <c r="Q75" s="1">
        <f t="shared" si="38"/>
        <v>7.3933649289099498E-2</v>
      </c>
      <c r="R75">
        <f t="shared" si="32"/>
        <v>8.4563385431457458</v>
      </c>
      <c r="S75">
        <f t="shared" si="33"/>
        <v>3.6725411663939811</v>
      </c>
      <c r="T75">
        <f t="shared" si="33"/>
        <v>3.5297254306108168</v>
      </c>
      <c r="U75">
        <f t="shared" si="33"/>
        <v>3.4980071310390999</v>
      </c>
      <c r="V75">
        <f t="shared" si="33"/>
        <v>2.3163897510731952</v>
      </c>
      <c r="W75">
        <f t="shared" si="34"/>
        <v>2.0542299098633974</v>
      </c>
    </row>
    <row r="76" spans="1:23">
      <c r="A76" t="s">
        <v>146</v>
      </c>
      <c r="B76">
        <v>4734.5</v>
      </c>
      <c r="C76">
        <v>3407.5</v>
      </c>
      <c r="D76">
        <v>3170.6</v>
      </c>
      <c r="E76">
        <v>213.4</v>
      </c>
      <c r="F76">
        <v>117.5</v>
      </c>
      <c r="G76" s="3">
        <f t="shared" si="31"/>
        <v>3.7069726390114764E-2</v>
      </c>
      <c r="H76" s="1">
        <f t="shared" si="35"/>
        <v>6.3127019214418928E-3</v>
      </c>
      <c r="I76" s="1"/>
      <c r="J76" s="1">
        <f t="shared" si="36"/>
        <v>6.2605203319256461E-3</v>
      </c>
      <c r="K76" s="1">
        <f t="shared" si="36"/>
        <v>7.2431539487895439E-3</v>
      </c>
      <c r="L76" s="1">
        <f t="shared" si="36"/>
        <v>2.9922779922780005E-2</v>
      </c>
      <c r="M76" s="1">
        <f t="shared" si="37"/>
        <v>3.8426951505713555E-2</v>
      </c>
      <c r="N76" s="1">
        <f t="shared" si="37"/>
        <v>3.7069726390114799E-2</v>
      </c>
      <c r="O76" s="1">
        <f t="shared" si="37"/>
        <v>3.0821249756160907E-2</v>
      </c>
      <c r="P76" s="1">
        <f t="shared" si="37"/>
        <v>0.26197516262566534</v>
      </c>
      <c r="Q76" s="1">
        <f t="shared" si="38"/>
        <v>0.11798287345385354</v>
      </c>
      <c r="R76">
        <f t="shared" si="32"/>
        <v>8.4626314034235541</v>
      </c>
      <c r="S76">
        <f t="shared" si="33"/>
        <v>3.6752741208880217</v>
      </c>
      <c r="T76">
        <f t="shared" si="33"/>
        <v>3.5324358645067111</v>
      </c>
      <c r="U76">
        <f t="shared" si="33"/>
        <v>3.5011414552877826</v>
      </c>
      <c r="V76">
        <f t="shared" si="33"/>
        <v>2.3291944150884509</v>
      </c>
      <c r="W76">
        <f t="shared" si="34"/>
        <v>2.070037866607755</v>
      </c>
    </row>
    <row r="77" spans="1:23">
      <c r="A77" t="s">
        <v>147</v>
      </c>
      <c r="B77">
        <v>4779.7</v>
      </c>
      <c r="C77">
        <v>3443.1</v>
      </c>
      <c r="D77">
        <v>3202.9</v>
      </c>
      <c r="E77">
        <v>226</v>
      </c>
      <c r="F77">
        <v>121</v>
      </c>
      <c r="G77" s="3">
        <f t="shared" si="31"/>
        <v>2.9787234042553193E-2</v>
      </c>
      <c r="H77" s="1">
        <f t="shared" si="35"/>
        <v>9.5469426549793686E-3</v>
      </c>
      <c r="I77" s="1"/>
      <c r="J77" s="1">
        <f t="shared" si="36"/>
        <v>1.0447542186353605E-2</v>
      </c>
      <c r="K77" s="1">
        <f t="shared" si="36"/>
        <v>1.0187346243613254E-2</v>
      </c>
      <c r="L77" s="1">
        <f t="shared" si="36"/>
        <v>5.9044048734770357E-2</v>
      </c>
      <c r="M77" s="1">
        <f t="shared" si="37"/>
        <v>3.3336936547400241E-2</v>
      </c>
      <c r="N77" s="1">
        <f t="shared" si="37"/>
        <v>3.2166197014209398E-2</v>
      </c>
      <c r="O77" s="1">
        <f t="shared" si="37"/>
        <v>4.1729005399076362E-2</v>
      </c>
      <c r="P77" s="1">
        <f t="shared" si="37"/>
        <v>0.28409090909090912</v>
      </c>
      <c r="Q77" s="1">
        <f t="shared" si="38"/>
        <v>0.13828786453433681</v>
      </c>
      <c r="R77">
        <f t="shared" si="32"/>
        <v>8.4721330620096396</v>
      </c>
      <c r="S77">
        <f t="shared" si="33"/>
        <v>3.6794006387808871</v>
      </c>
      <c r="T77">
        <f t="shared" si="33"/>
        <v>3.5369496363606454</v>
      </c>
      <c r="U77">
        <f t="shared" si="33"/>
        <v>3.5055433794611512</v>
      </c>
      <c r="V77">
        <f t="shared" si="33"/>
        <v>2.3541084391474008</v>
      </c>
      <c r="W77">
        <f t="shared" si="34"/>
        <v>2.0827853703164503</v>
      </c>
    </row>
    <row r="78" spans="1:23">
      <c r="A78" t="s">
        <v>148</v>
      </c>
      <c r="B78">
        <v>4809.8</v>
      </c>
      <c r="C78">
        <v>3473.9</v>
      </c>
      <c r="D78">
        <v>3200.9</v>
      </c>
      <c r="E78">
        <v>221.3</v>
      </c>
      <c r="F78">
        <v>124.6</v>
      </c>
      <c r="G78" s="3">
        <f t="shared" si="31"/>
        <v>2.9752066115702431E-2</v>
      </c>
      <c r="H78" s="1">
        <f t="shared" si="35"/>
        <v>6.2974663681821799E-3</v>
      </c>
      <c r="I78" s="1"/>
      <c r="J78" s="1">
        <f t="shared" si="36"/>
        <v>8.9454270860562235E-3</v>
      </c>
      <c r="K78" s="1">
        <f t="shared" si="36"/>
        <v>-6.24434106590902E-4</v>
      </c>
      <c r="L78" s="1">
        <f t="shared" si="36"/>
        <v>-2.0796460176991102E-2</v>
      </c>
      <c r="M78" s="1">
        <f t="shared" si="37"/>
        <v>3.3187979292419394E-2</v>
      </c>
      <c r="N78" s="1">
        <f t="shared" si="37"/>
        <v>2.775065826454844E-2</v>
      </c>
      <c r="O78" s="1">
        <f t="shared" si="37"/>
        <v>2.3240202033118176E-2</v>
      </c>
      <c r="P78" s="1">
        <f t="shared" si="37"/>
        <v>0.13196930946291566</v>
      </c>
      <c r="Q78" s="1">
        <f t="shared" si="38"/>
        <v>0.13686131386861314</v>
      </c>
      <c r="R78">
        <f t="shared" si="32"/>
        <v>8.4784107821937535</v>
      </c>
      <c r="S78">
        <f t="shared" si="33"/>
        <v>3.6821270180157799</v>
      </c>
      <c r="T78">
        <f t="shared" si="33"/>
        <v>3.5408173126507267</v>
      </c>
      <c r="U78">
        <f t="shared" si="33"/>
        <v>3.5052721064694752</v>
      </c>
      <c r="V78">
        <f t="shared" si="33"/>
        <v>2.344981413927258</v>
      </c>
      <c r="W78">
        <f t="shared" si="34"/>
        <v>2.095518042323151</v>
      </c>
    </row>
    <row r="79" spans="1:23">
      <c r="A79" t="s">
        <v>149</v>
      </c>
      <c r="B79">
        <v>4832.3999999999996</v>
      </c>
      <c r="C79">
        <v>3450.9</v>
      </c>
      <c r="D79">
        <v>3208.6</v>
      </c>
      <c r="E79">
        <v>206.2</v>
      </c>
      <c r="F79">
        <v>127.1</v>
      </c>
      <c r="G79" s="3">
        <f t="shared" si="31"/>
        <v>2.0064205457463884E-2</v>
      </c>
      <c r="H79" s="1">
        <f t="shared" si="35"/>
        <v>4.6987400723521675E-3</v>
      </c>
      <c r="I79" s="1"/>
      <c r="J79" s="1">
        <f t="shared" si="36"/>
        <v>-6.6208008290394079E-3</v>
      </c>
      <c r="K79" s="1">
        <f t="shared" si="36"/>
        <v>2.4055734324720602E-3</v>
      </c>
      <c r="L79" s="1">
        <f t="shared" si="36"/>
        <v>-6.8233167645729884E-2</v>
      </c>
      <c r="M79" s="1">
        <f t="shared" si="37"/>
        <v>2.7121237884713368E-2</v>
      </c>
      <c r="N79" s="1">
        <f t="shared" si="37"/>
        <v>1.9076868558603757E-2</v>
      </c>
      <c r="O79" s="1">
        <f t="shared" si="37"/>
        <v>1.9315077196772262E-2</v>
      </c>
      <c r="P79" s="1">
        <f t="shared" si="37"/>
        <v>-4.8262548262548262E-3</v>
      </c>
      <c r="Q79" s="1">
        <f t="shared" si="38"/>
        <v>0.12180052956751984</v>
      </c>
      <c r="R79">
        <f t="shared" si="32"/>
        <v>8.4830985176454092</v>
      </c>
      <c r="S79">
        <f t="shared" si="33"/>
        <v>3.6841628756550562</v>
      </c>
      <c r="T79">
        <f t="shared" si="33"/>
        <v>3.5379323745110081</v>
      </c>
      <c r="U79">
        <f t="shared" si="33"/>
        <v>3.506315579164506</v>
      </c>
      <c r="V79">
        <f t="shared" si="33"/>
        <v>2.3142886609474975</v>
      </c>
      <c r="W79">
        <f t="shared" si="34"/>
        <v>2.1041455505540081</v>
      </c>
    </row>
    <row r="80" spans="1:23">
      <c r="A80" t="s">
        <v>150</v>
      </c>
      <c r="B80">
        <v>4845.6000000000004</v>
      </c>
      <c r="C80">
        <v>3466.9</v>
      </c>
      <c r="D80">
        <v>3241.1</v>
      </c>
      <c r="E80">
        <v>195.7</v>
      </c>
      <c r="F80">
        <v>129.1</v>
      </c>
      <c r="G80" s="3">
        <f t="shared" si="31"/>
        <v>1.5735641227380016E-2</v>
      </c>
      <c r="H80" s="1">
        <f t="shared" si="35"/>
        <v>2.7315619567918072E-3</v>
      </c>
      <c r="I80" s="1"/>
      <c r="J80" s="1">
        <f t="shared" si="36"/>
        <v>4.6364716450780956E-3</v>
      </c>
      <c r="K80" s="1">
        <f t="shared" si="36"/>
        <v>1.01290282366141E-2</v>
      </c>
      <c r="L80" s="1">
        <f t="shared" si="36"/>
        <v>-5.0921435499515035E-2</v>
      </c>
      <c r="M80" s="1">
        <f t="shared" si="37"/>
        <v>2.3466047101066714E-2</v>
      </c>
      <c r="N80" s="1">
        <f t="shared" si="37"/>
        <v>1.7432134996331648E-2</v>
      </c>
      <c r="O80" s="1">
        <f t="shared" si="37"/>
        <v>2.2235539014697533E-2</v>
      </c>
      <c r="P80" s="1">
        <f t="shared" si="37"/>
        <v>-8.2942830365510853E-2</v>
      </c>
      <c r="Q80" s="1">
        <f t="shared" si="38"/>
        <v>9.87234042553191E-2</v>
      </c>
      <c r="R80">
        <f t="shared" si="32"/>
        <v>8.4858263556667382</v>
      </c>
      <c r="S80">
        <f t="shared" si="33"/>
        <v>3.6853475606552455</v>
      </c>
      <c r="T80">
        <f t="shared" si="33"/>
        <v>3.5399413149547732</v>
      </c>
      <c r="U80">
        <f t="shared" si="33"/>
        <v>3.5106924308403564</v>
      </c>
      <c r="V80">
        <f t="shared" si="33"/>
        <v>2.2915908256580013</v>
      </c>
      <c r="W80">
        <f t="shared" si="34"/>
        <v>2.1109262422664203</v>
      </c>
    </row>
    <row r="81" spans="1:23">
      <c r="A81" t="s">
        <v>151</v>
      </c>
      <c r="B81">
        <v>4859.7</v>
      </c>
      <c r="C81">
        <v>3493</v>
      </c>
      <c r="D81">
        <v>3241.6</v>
      </c>
      <c r="E81">
        <v>203</v>
      </c>
      <c r="F81">
        <v>130.69999999999999</v>
      </c>
      <c r="G81" s="3">
        <f t="shared" si="31"/>
        <v>1.2393493415956578E-2</v>
      </c>
      <c r="H81" s="1">
        <f t="shared" si="35"/>
        <v>2.9098563645367868E-3</v>
      </c>
      <c r="I81" s="1"/>
      <c r="J81" s="1">
        <f t="shared" si="36"/>
        <v>7.5283394386915998E-3</v>
      </c>
      <c r="K81" s="1">
        <f t="shared" si="36"/>
        <v>1.5426861250809911E-4</v>
      </c>
      <c r="L81" s="1">
        <f t="shared" si="36"/>
        <v>3.7301992846193212E-2</v>
      </c>
      <c r="M81" s="1">
        <f t="shared" si="37"/>
        <v>1.6737452141347784E-2</v>
      </c>
      <c r="N81" s="1">
        <f t="shared" si="37"/>
        <v>1.4492753623188432E-2</v>
      </c>
      <c r="O81" s="1">
        <f t="shared" si="37"/>
        <v>1.2082799962533896E-2</v>
      </c>
      <c r="P81" s="1">
        <f t="shared" si="37"/>
        <v>-0.10176991150442478</v>
      </c>
      <c r="Q81" s="1">
        <f t="shared" si="38"/>
        <v>8.0165289256198258E-2</v>
      </c>
      <c r="R81">
        <f t="shared" si="32"/>
        <v>8.4887319865942015</v>
      </c>
      <c r="S81">
        <f t="shared" si="33"/>
        <v>3.6866094601334907</v>
      </c>
      <c r="T81">
        <f t="shared" si="33"/>
        <v>3.5431985856376467</v>
      </c>
      <c r="U81">
        <f t="shared" si="33"/>
        <v>3.5107594236801862</v>
      </c>
      <c r="V81">
        <f t="shared" si="33"/>
        <v>2.307496037913213</v>
      </c>
      <c r="W81">
        <f t="shared" si="34"/>
        <v>2.1162755875805441</v>
      </c>
    </row>
    <row r="82" spans="1:23">
      <c r="A82" t="s">
        <v>152</v>
      </c>
      <c r="B82">
        <v>4880.8</v>
      </c>
      <c r="C82">
        <v>3531.4</v>
      </c>
      <c r="D82">
        <v>3258.8</v>
      </c>
      <c r="E82">
        <v>199.1</v>
      </c>
      <c r="F82">
        <v>132.30000000000001</v>
      </c>
      <c r="G82" s="3">
        <f t="shared" si="31"/>
        <v>1.2241775057383495E-2</v>
      </c>
      <c r="H82" s="1">
        <f t="shared" si="35"/>
        <v>4.3418318003169672E-3</v>
      </c>
      <c r="I82" s="1"/>
      <c r="J82" s="1">
        <f t="shared" si="36"/>
        <v>1.0993415402233064E-2</v>
      </c>
      <c r="K82" s="1">
        <f t="shared" si="36"/>
        <v>5.3060217176703704E-3</v>
      </c>
      <c r="L82" s="1">
        <f t="shared" si="36"/>
        <v>-1.9211822660098549E-2</v>
      </c>
      <c r="M82" s="1">
        <f t="shared" si="37"/>
        <v>1.4761528545885484E-2</v>
      </c>
      <c r="N82" s="1">
        <f t="shared" si="37"/>
        <v>1.6552002072598521E-2</v>
      </c>
      <c r="O82" s="1">
        <f t="shared" si="37"/>
        <v>1.8088662563654E-2</v>
      </c>
      <c r="P82" s="1">
        <f t="shared" si="37"/>
        <v>-0.1003163126976955</v>
      </c>
      <c r="Q82" s="1">
        <f t="shared" si="38"/>
        <v>6.1797752808988901E-2</v>
      </c>
      <c r="R82">
        <f t="shared" si="32"/>
        <v>8.4930644198376424</v>
      </c>
      <c r="S82">
        <f t="shared" si="33"/>
        <v>3.6884910119843313</v>
      </c>
      <c r="T82">
        <f t="shared" si="33"/>
        <v>3.5479469126789067</v>
      </c>
      <c r="U82">
        <f t="shared" si="33"/>
        <v>3.5130577076386054</v>
      </c>
      <c r="V82">
        <f t="shared" si="33"/>
        <v>2.2990712600274095</v>
      </c>
      <c r="W82">
        <f t="shared" si="34"/>
        <v>2.1215598441875012</v>
      </c>
    </row>
    <row r="83" spans="1:23">
      <c r="A83" t="s">
        <v>153</v>
      </c>
      <c r="B83">
        <v>4900.3</v>
      </c>
      <c r="C83">
        <v>3545.3</v>
      </c>
      <c r="D83">
        <v>3258.6</v>
      </c>
      <c r="E83">
        <v>193.7</v>
      </c>
      <c r="F83">
        <v>132.5</v>
      </c>
      <c r="G83" s="3">
        <f t="shared" si="31"/>
        <v>1.5117157974299971E-3</v>
      </c>
      <c r="H83" s="1">
        <f t="shared" si="35"/>
        <v>3.9952466808719882E-3</v>
      </c>
      <c r="I83" s="1"/>
      <c r="J83" s="1">
        <f t="shared" si="36"/>
        <v>3.9361159879934557E-3</v>
      </c>
      <c r="K83" s="1">
        <f t="shared" si="36"/>
        <v>-6.1372284276504498E-5</v>
      </c>
      <c r="L83" s="1">
        <f t="shared" si="36"/>
        <v>-2.7122049221496764E-2</v>
      </c>
      <c r="M83" s="1">
        <f t="shared" si="37"/>
        <v>1.4050989156526892E-2</v>
      </c>
      <c r="N83" s="1">
        <f t="shared" si="37"/>
        <v>2.7355182705960789E-2</v>
      </c>
      <c r="O83" s="1">
        <f t="shared" si="37"/>
        <v>1.5583120364021692E-2</v>
      </c>
      <c r="P83" s="1">
        <f t="shared" si="37"/>
        <v>-6.0620756547041708E-2</v>
      </c>
      <c r="Q83" s="1">
        <f t="shared" si="38"/>
        <v>4.2486231313926086E-2</v>
      </c>
      <c r="R83">
        <f t="shared" si="32"/>
        <v>8.4970517067143714</v>
      </c>
      <c r="S83">
        <f t="shared" si="33"/>
        <v>3.6902226686726598</v>
      </c>
      <c r="T83">
        <f t="shared" si="33"/>
        <v>3.5496529906705594</v>
      </c>
      <c r="U83">
        <f t="shared" si="33"/>
        <v>3.5130310531762712</v>
      </c>
      <c r="V83">
        <f t="shared" si="33"/>
        <v>2.287129620719111</v>
      </c>
      <c r="W83">
        <f t="shared" si="34"/>
        <v>2.1222158782728267</v>
      </c>
    </row>
    <row r="84" spans="1:23">
      <c r="A84" t="s">
        <v>154</v>
      </c>
      <c r="B84">
        <v>4903.3</v>
      </c>
      <c r="C84">
        <v>3547</v>
      </c>
      <c r="D84">
        <v>3281.2</v>
      </c>
      <c r="E84">
        <v>196.3</v>
      </c>
      <c r="F84">
        <v>133.80000000000001</v>
      </c>
      <c r="G84" s="3">
        <f t="shared" si="31"/>
        <v>9.8113207547170667E-3</v>
      </c>
      <c r="H84" s="1">
        <f t="shared" si="35"/>
        <v>6.122074158724976E-4</v>
      </c>
      <c r="I84" s="1"/>
      <c r="J84" s="1">
        <f t="shared" si="36"/>
        <v>4.7950808112143343E-4</v>
      </c>
      <c r="K84" s="1">
        <f t="shared" si="36"/>
        <v>6.9354937703307888E-3</v>
      </c>
      <c r="L84" s="1">
        <f t="shared" si="36"/>
        <v>1.3422818791946426E-2</v>
      </c>
      <c r="M84" s="1">
        <f t="shared" si="37"/>
        <v>1.1907710087502025E-2</v>
      </c>
      <c r="N84" s="1">
        <f t="shared" si="37"/>
        <v>2.3104214139432897E-2</v>
      </c>
      <c r="O84" s="1">
        <f t="shared" si="37"/>
        <v>1.2372342723149521E-2</v>
      </c>
      <c r="P84" s="1">
        <f t="shared" si="37"/>
        <v>3.06591722023517E-3</v>
      </c>
      <c r="Q84" s="1">
        <f t="shared" si="38"/>
        <v>3.6405886909372714E-2</v>
      </c>
      <c r="R84">
        <f t="shared" si="32"/>
        <v>8.4976637268077333</v>
      </c>
      <c r="S84">
        <f t="shared" si="33"/>
        <v>3.6904884656220207</v>
      </c>
      <c r="T84">
        <f t="shared" si="33"/>
        <v>3.5498611884719429</v>
      </c>
      <c r="U84">
        <f t="shared" si="33"/>
        <v>3.5160327028789333</v>
      </c>
      <c r="V84">
        <f t="shared" si="33"/>
        <v>2.2929202996000062</v>
      </c>
      <c r="W84">
        <f t="shared" si="34"/>
        <v>2.1264561134318045</v>
      </c>
    </row>
    <row r="85" spans="1:23">
      <c r="A85" t="s">
        <v>155</v>
      </c>
      <c r="B85">
        <v>4855.1000000000004</v>
      </c>
      <c r="C85">
        <v>3529.5</v>
      </c>
      <c r="D85">
        <v>3251.8</v>
      </c>
      <c r="E85">
        <v>199</v>
      </c>
      <c r="F85">
        <v>136.19999999999999</v>
      </c>
      <c r="G85" s="3">
        <f t="shared" si="31"/>
        <v>1.7937219730941534E-2</v>
      </c>
      <c r="H85" s="1">
        <f t="shared" si="35"/>
        <v>-9.8301144127424019E-3</v>
      </c>
      <c r="I85" s="1"/>
      <c r="J85" s="1">
        <f t="shared" si="36"/>
        <v>-4.93374682830561E-3</v>
      </c>
      <c r="K85" s="1">
        <f t="shared" si="36"/>
        <v>-8.9601365354137624E-3</v>
      </c>
      <c r="L85" s="1">
        <f t="shared" si="36"/>
        <v>1.3754457463066676E-2</v>
      </c>
      <c r="M85" s="1">
        <f t="shared" si="37"/>
        <v>-9.4656048727276472E-4</v>
      </c>
      <c r="N85" s="1">
        <f t="shared" si="37"/>
        <v>1.0449470369310048E-2</v>
      </c>
      <c r="O85" s="1">
        <f t="shared" si="37"/>
        <v>3.1465942744324633E-3</v>
      </c>
      <c r="P85" s="1">
        <f t="shared" si="37"/>
        <v>-1.9704433497536946E-2</v>
      </c>
      <c r="Q85" s="1">
        <f t="shared" si="38"/>
        <v>4.2081101759755171E-2</v>
      </c>
      <c r="R85">
        <f t="shared" si="32"/>
        <v>8.487784977835652</v>
      </c>
      <c r="S85">
        <f t="shared" si="33"/>
        <v>3.6861981794553382</v>
      </c>
      <c r="T85">
        <f t="shared" si="33"/>
        <v>3.5477131862317024</v>
      </c>
      <c r="U85">
        <f t="shared" si="33"/>
        <v>3.5121238267229447</v>
      </c>
      <c r="V85">
        <f t="shared" si="33"/>
        <v>2.2988530764097068</v>
      </c>
      <c r="W85">
        <f t="shared" si="34"/>
        <v>2.1341771075767664</v>
      </c>
    </row>
    <row r="86" spans="1:23">
      <c r="A86" t="s">
        <v>156</v>
      </c>
      <c r="B86">
        <v>4824</v>
      </c>
      <c r="C86">
        <v>3514.8</v>
      </c>
      <c r="D86">
        <v>3241.1</v>
      </c>
      <c r="E86">
        <v>189.7</v>
      </c>
      <c r="F86">
        <v>137.80000000000001</v>
      </c>
      <c r="G86" s="3">
        <f t="shared" si="31"/>
        <v>1.174743024963306E-2</v>
      </c>
      <c r="H86" s="1">
        <f t="shared" si="35"/>
        <v>-6.4056353113221892E-3</v>
      </c>
      <c r="I86" s="1"/>
      <c r="J86" s="1">
        <f t="shared" si="36"/>
        <v>-4.1648958776030085E-3</v>
      </c>
      <c r="K86" s="1">
        <f t="shared" si="36"/>
        <v>-3.2904852696968669E-3</v>
      </c>
      <c r="L86" s="1">
        <f t="shared" si="36"/>
        <v>-4.6733668341708598E-2</v>
      </c>
      <c r="M86" s="1">
        <f t="shared" si="37"/>
        <v>-1.1637436485822033E-2</v>
      </c>
      <c r="N86" s="1">
        <f t="shared" si="37"/>
        <v>-4.7006852806252223E-3</v>
      </c>
      <c r="O86" s="1">
        <f t="shared" si="37"/>
        <v>-5.4314471584633213E-3</v>
      </c>
      <c r="P86" s="1">
        <f t="shared" si="37"/>
        <v>-4.7212456052235091E-2</v>
      </c>
      <c r="Q86" s="1">
        <f t="shared" si="38"/>
        <v>4.157218442932728E-2</v>
      </c>
      <c r="R86">
        <f t="shared" si="32"/>
        <v>8.481358738407021</v>
      </c>
      <c r="S86">
        <f t="shared" si="33"/>
        <v>3.683407299132095</v>
      </c>
      <c r="T86">
        <f t="shared" si="33"/>
        <v>3.5459006177292234</v>
      </c>
      <c r="U86">
        <f t="shared" si="33"/>
        <v>3.5106924308403564</v>
      </c>
      <c r="V86">
        <f t="shared" si="33"/>
        <v>2.2780673308886628</v>
      </c>
      <c r="W86">
        <f t="shared" si="34"/>
        <v>2.1392492175716069</v>
      </c>
    </row>
    <row r="87" spans="1:23">
      <c r="A87" t="s">
        <v>157</v>
      </c>
      <c r="B87">
        <v>4840.7</v>
      </c>
      <c r="C87">
        <v>3537.4</v>
      </c>
      <c r="D87">
        <v>3252.4</v>
      </c>
      <c r="E87">
        <v>182.7</v>
      </c>
      <c r="F87">
        <v>136.69999999999999</v>
      </c>
      <c r="G87" s="3">
        <f t="shared" si="31"/>
        <v>-7.9825834542817317E-3</v>
      </c>
      <c r="H87" s="1">
        <f t="shared" si="35"/>
        <v>3.4618573797677897E-3</v>
      </c>
      <c r="I87" s="1"/>
      <c r="J87" s="1">
        <f t="shared" si="36"/>
        <v>6.4299533401615764E-3</v>
      </c>
      <c r="K87" s="1">
        <f t="shared" si="36"/>
        <v>3.4864706426830957E-3</v>
      </c>
      <c r="L87" s="1">
        <f t="shared" si="36"/>
        <v>-3.6900369003690037E-2</v>
      </c>
      <c r="M87" s="1">
        <f t="shared" si="37"/>
        <v>-1.2162520662000359E-2</v>
      </c>
      <c r="N87" s="1">
        <f t="shared" si="37"/>
        <v>-2.2283022593292783E-3</v>
      </c>
      <c r="O87" s="1">
        <f t="shared" si="37"/>
        <v>-1.9026575830110534E-3</v>
      </c>
      <c r="P87" s="1">
        <f t="shared" si="37"/>
        <v>-5.6788848735157466E-2</v>
      </c>
      <c r="Q87" s="1">
        <f t="shared" si="38"/>
        <v>3.1698113207547084E-2</v>
      </c>
      <c r="R87">
        <f t="shared" si="32"/>
        <v>8.4848146173522156</v>
      </c>
      <c r="S87">
        <f t="shared" si="33"/>
        <v>3.6849081682881186</v>
      </c>
      <c r="T87">
        <f t="shared" si="33"/>
        <v>3.5486841714830053</v>
      </c>
      <c r="U87">
        <f t="shared" si="33"/>
        <v>3.5122039523924751</v>
      </c>
      <c r="V87">
        <f t="shared" si="33"/>
        <v>2.2617385473525378</v>
      </c>
      <c r="W87">
        <f t="shared" si="34"/>
        <v>2.1357685145678222</v>
      </c>
    </row>
    <row r="88" spans="1:23">
      <c r="A88" t="s">
        <v>158</v>
      </c>
      <c r="B88">
        <v>4862.7</v>
      </c>
      <c r="C88">
        <v>3539.9</v>
      </c>
      <c r="D88">
        <v>3271.2</v>
      </c>
      <c r="E88">
        <v>189.6</v>
      </c>
      <c r="F88">
        <v>138.1</v>
      </c>
      <c r="G88" s="3">
        <f t="shared" si="31"/>
        <v>1.0241404535479193E-2</v>
      </c>
      <c r="H88" s="1">
        <f t="shared" si="35"/>
        <v>4.5447972400685854E-3</v>
      </c>
      <c r="I88" s="1"/>
      <c r="J88" s="1">
        <f t="shared" si="36"/>
        <v>7.0673375925821226E-4</v>
      </c>
      <c r="K88" s="1">
        <f t="shared" si="36"/>
        <v>5.7803468208091641E-3</v>
      </c>
      <c r="L88" s="1">
        <f t="shared" si="36"/>
        <v>3.7766830870279176E-2</v>
      </c>
      <c r="M88" s="1">
        <f t="shared" si="37"/>
        <v>-8.2801378663349915E-3</v>
      </c>
      <c r="N88" s="1">
        <f t="shared" si="37"/>
        <v>-2.0016915703411076E-3</v>
      </c>
      <c r="O88" s="1">
        <f t="shared" si="37"/>
        <v>-3.0476654882360113E-3</v>
      </c>
      <c r="P88" s="1">
        <f t="shared" si="37"/>
        <v>-3.4131431482424944E-2</v>
      </c>
      <c r="Q88" s="1">
        <f t="shared" si="38"/>
        <v>3.2137518684603759E-2</v>
      </c>
      <c r="R88">
        <f t="shared" si="32"/>
        <v>8.4893491181862402</v>
      </c>
      <c r="S88">
        <f t="shared" si="33"/>
        <v>3.6868774769785206</v>
      </c>
      <c r="T88">
        <f t="shared" si="33"/>
        <v>3.5489909936468012</v>
      </c>
      <c r="U88">
        <f t="shared" si="33"/>
        <v>3.5147070975462795</v>
      </c>
      <c r="V88">
        <f t="shared" si="33"/>
        <v>2.2778383330020473</v>
      </c>
      <c r="W88">
        <f t="shared" si="34"/>
        <v>2.1401936785786311</v>
      </c>
    </row>
    <row r="89" spans="1:23">
      <c r="A89" t="s">
        <v>159</v>
      </c>
      <c r="B89">
        <v>4868</v>
      </c>
      <c r="C89">
        <v>3547.5</v>
      </c>
      <c r="D89">
        <v>3271.1</v>
      </c>
      <c r="E89">
        <v>190.3</v>
      </c>
      <c r="F89">
        <v>138.5</v>
      </c>
      <c r="G89" s="3">
        <f t="shared" si="31"/>
        <v>2.8964518464880936E-3</v>
      </c>
      <c r="H89" s="1">
        <f t="shared" si="35"/>
        <v>1.0899294630555415E-3</v>
      </c>
      <c r="I89" s="1"/>
      <c r="J89" s="1">
        <f t="shared" si="36"/>
        <v>2.1469533037656173E-3</v>
      </c>
      <c r="K89" s="1">
        <f t="shared" si="36"/>
        <v>-3.0569821472214801E-5</v>
      </c>
      <c r="L89" s="1">
        <f t="shared" si="36"/>
        <v>3.6919831223629594E-3</v>
      </c>
      <c r="M89" s="1">
        <f t="shared" si="37"/>
        <v>2.6569998558216381E-3</v>
      </c>
      <c r="N89" s="1">
        <f t="shared" si="37"/>
        <v>5.0998725031874206E-3</v>
      </c>
      <c r="O89" s="1">
        <f t="shared" si="37"/>
        <v>5.9351743649670111E-3</v>
      </c>
      <c r="P89" s="1">
        <f t="shared" si="37"/>
        <v>-4.3718592964824061E-2</v>
      </c>
      <c r="Q89" s="1">
        <f t="shared" si="38"/>
        <v>1.688693098384737E-2</v>
      </c>
      <c r="R89">
        <f t="shared" si="32"/>
        <v>8.4904384541074176</v>
      </c>
      <c r="S89">
        <f t="shared" si="33"/>
        <v>3.6873505695580273</v>
      </c>
      <c r="T89">
        <f t="shared" si="33"/>
        <v>3.5499224041295117</v>
      </c>
      <c r="U89">
        <f t="shared" si="33"/>
        <v>3.5146938210385703</v>
      </c>
      <c r="V89">
        <f t="shared" si="33"/>
        <v>2.2794387882870204</v>
      </c>
      <c r="W89">
        <f t="shared" si="34"/>
        <v>2.1414497734004674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Thinh Nhut Lam</cp:lastModifiedBy>
  <cp:revision/>
  <dcterms:created xsi:type="dcterms:W3CDTF">2017-08-27T02:30:47Z</dcterms:created>
  <dcterms:modified xsi:type="dcterms:W3CDTF">2024-07-15T08:52:07Z</dcterms:modified>
  <cp:category/>
  <cp:contentStatus/>
</cp:coreProperties>
</file>